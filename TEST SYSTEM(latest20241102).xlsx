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 sheetId="1" r:id="rId4"/>
    <sheet state="visible" name="printable" sheetId="2" r:id="rId5"/>
    <sheet state="visible" name="comment" sheetId="3" r:id="rId6"/>
    <sheet state="visible" name="category" sheetId="4" r:id="rId7"/>
  </sheets>
  <definedNames/>
  <calcPr/>
  <extLst>
    <ext uri="GoogleSheetsCustomDataVersion2">
      <go:sheetsCustomData xmlns:go="http://customooxmlschemas.google.com/" r:id="rId8" roundtripDataChecksum="Tdz8+N3YA1OVc1tU0zBpLCi8pWyLSwdXGX4gZrSbdvQ="/>
    </ext>
  </extLst>
</workbook>
</file>

<file path=xl/sharedStrings.xml><?xml version="1.0" encoding="utf-8"?>
<sst xmlns="http://schemas.openxmlformats.org/spreadsheetml/2006/main" count="1095" uniqueCount="632">
  <si>
    <t>タイムスタンプ</t>
  </si>
  <si>
    <t>Student Name</t>
  </si>
  <si>
    <t>Cat.1 Score</t>
  </si>
  <si>
    <t>Cat.2 Score</t>
  </si>
  <si>
    <t>Cat.3 Score</t>
  </si>
  <si>
    <t>Cat.4 Score</t>
  </si>
  <si>
    <t>Cat.5 Score</t>
  </si>
  <si>
    <t>Cat.6 Score</t>
  </si>
  <si>
    <t>Cat.7 Score</t>
  </si>
  <si>
    <t>Cat.8 Score</t>
  </si>
  <si>
    <t>Listening</t>
  </si>
  <si>
    <t>Writing</t>
  </si>
  <si>
    <t>Speaking</t>
  </si>
  <si>
    <t>Reading</t>
  </si>
  <si>
    <t>Attitude</t>
  </si>
  <si>
    <t>Kokoro Teramura</t>
  </si>
  <si>
    <t xml:space="preserve"> </t>
  </si>
  <si>
    <t>Level</t>
  </si>
  <si>
    <t xml:space="preserve">       総合評価</t>
  </si>
  <si>
    <t xml:space="preserve">       レッスンの理解度</t>
  </si>
  <si>
    <t>PASS</t>
  </si>
  <si>
    <t>➀</t>
  </si>
  <si>
    <t>➁</t>
  </si>
  <si>
    <t>➂</t>
  </si>
  <si>
    <t>➃</t>
  </si>
  <si>
    <t>➄</t>
  </si>
  <si>
    <t>30c1</t>
  </si>
  <si>
    <t>29c1</t>
  </si>
  <si>
    <t>28c1</t>
  </si>
  <si>
    <t>27c1</t>
  </si>
  <si>
    <t>26c1</t>
  </si>
  <si>
    <t>25c1</t>
  </si>
  <si>
    <t>残念ながら、緊張してしまったのか先生のあいさつを聞くことができませんでした。</t>
  </si>
  <si>
    <t>23級では、ショッピングで役に立つ表現を学習しました。まだ練習中で英語で"Hello"はできませんでした。</t>
  </si>
  <si>
    <t>22級では、ほしいものや必要なものを英語で言う表現を学習しました。まだ練習中で英語でのあいさつはできませんでした。</t>
  </si>
  <si>
    <t>まだ練習中で英語でのあいさつはできませんでした。</t>
  </si>
  <si>
    <t>20級では、「自分の名前・年れい・体の調子・好きなもの・好きではないもの・持っているもの・ほしいもの・暑い日に着るもの・天気」をテーマにスピーチをしました。残念ながら、まだ練習中で発表はできませんでした。次回は発表できるように先生と練習しよう！</t>
  </si>
  <si>
    <t>19級では、自分や家族の紹介（できること・性格など）をしました。まだ練習中で英語でのあいさつはできませんでした。</t>
  </si>
  <si>
    <t>18級では、ものがどこにあるか場所を説明する表現・自分の習慣について学習をしました。スピーチでは、残念ながら、まだ練習中で発表はできませんでした。次回は発表できるように先生と練習しよう！</t>
  </si>
  <si>
    <t>16級では、道案内、将来の夢、家族紹介の学習をしました。テストでは、「誕生日にほしいもの(16級)・年中行事(16級)・家族紹介」にテーマにスピーチをしました。残念ながら、まだ練習中で発表はできませんでした。次回は発表できるように先生と練習しよう！</t>
  </si>
  <si>
    <t>15級では、世界の国々にある建物や有名なものについて学習しました。まだ練習中であいさつはできませんでした。</t>
  </si>
  <si>
    <t>14級では、「出身・自分の国にあるもの・それがどんなものか・ふだんすること・時々すること・いつもすること」をテーマにスピーチをしました。残念ながら、まだ練習中で発表はできませんでした。次回は発表できるように先生と練習しよう！</t>
  </si>
  <si>
    <t>13級では、病院でお医者さんに症状を英語で伝える表現・三人称単数現在形のS・現在進行形・Be動詞を学習しました。まだ練習中で英語でのあいさつはできませんでした。</t>
  </si>
  <si>
    <t>12級では、過去1週間にしたことをテーマにスピーチをしました。残念ながら、まだ練習中で発表はできませんでした。次回は発表できるように先生と練習しよう！</t>
  </si>
  <si>
    <t>11級では、Why?（なぜ）に対して理由を説明する学習しました。まだ練習中で英語でのあいさつはできませんでした。</t>
  </si>
  <si>
    <t>10級では、「自分の出身地・出身地の有名な事柄・自分が持っているもの・自分が得意な事・自分の日常・家族の職業・家族が得意な事・自分が好きな事とその理由」をテーマにスピーチをしました。残念ながら、まだ練習中で発表はできませんでした。次回は発表できるように先生と練習しよう！</t>
  </si>
  <si>
    <t>9級では不定詞/過去進行形/whenを使った表現、
to+動詞の原形(すること/するための・すべき/するために・~して)とwas/were+動詞ingを学習しました。
テストでは過去のある時点で誰が何をしていたかを説明する英語を使いアリバイゲームをしました。残念ながら、まだ練習中でした。次回はできるように先生と練習しよう！</t>
  </si>
  <si>
    <t>8級では、「家族の性格・家族がふだんすること・ある日の家族との思い出・自分の週末の紹介・週末にする予定・雨天の場合の予定・週末にしなくてもよいこと・週末にしなくてはいけないこと」をテーマにスピーチをしました。残念ながら、まだ練習中で発表はできませんでした。次回は発表できるように先生と練習しよう！</t>
  </si>
  <si>
    <t>7級では、さまざまな人やものを比べる表現を学習しました。まだ練習中で英語でのあいさつや自己紹介はできませんでした。</t>
  </si>
  <si>
    <t>6級では、自分がしたいことをテーマにスピーチをしました。残念ながら、まだ練習中で発表はできませんでした。次回は発表できるように先生と練習しよう！</t>
  </si>
  <si>
    <t>5級では、現在完了形の表現を学習しました。まだ練習中で英語でのあいさつや自己紹介はできませんでした。</t>
  </si>
  <si>
    <t>4級では、「自分についての紹介・生まれ・今住んでいるところ・することが好きなこと・長い間していること・持っている特別なもの・行ったことがある場所・その場所の説明・終わりのあいさつ」をテーマにスピーチをしました。残念ながら、まだ練習中で発表はできませんでした。次回は発表できるように先生と練習しよう！</t>
  </si>
  <si>
    <t>3級では、さまざまな表現(仮定法・不可疑問・間接疑問など)を学習しました。まだ練習中で英語でのあいさつや自己紹介はできませんでした。</t>
  </si>
  <si>
    <t>2級では、9級から3級までに学習した文法が入った長めの自己紹介をテーマにスピーチをしました（生まれ・育ち・2つのものを比べてどちらが好きかとその理由・将来の夢としたいこと・どんな人になりたいか・もしお金持ちだったらしてみたいこと）。残念ながら、まだ練習中で発表はできませんでした。次回は発表できるように先生と練習しよう！</t>
  </si>
  <si>
    <t>1c1</t>
  </si>
  <si>
    <t>30c2</t>
  </si>
  <si>
    <t>29c2</t>
  </si>
  <si>
    <t>28c2</t>
  </si>
  <si>
    <t>27c2</t>
  </si>
  <si>
    <t>26c2</t>
  </si>
  <si>
    <t>25c2</t>
  </si>
  <si>
    <t>まだ練習中で英語で"Hello"はできませんでした。</t>
  </si>
  <si>
    <t>23級では、ショッピングで役に立つ表現を学習しました。先生の後に続いてまねをして"Hello"ができました。</t>
  </si>
  <si>
    <t>22級では、ほしいものや必要なものを英語で言う表現を学習しました。先生の後に続いてまねをして英語のあいさつができました。</t>
  </si>
  <si>
    <t>先生の後に続いてまねをして英語のあいさつができました。</t>
  </si>
  <si>
    <t>20級では、「自分の名前・年れい・体の調子・好きなもの・好きではないもの・持っているもの・ほしいもの・暑い日に着るもの・天気」をテーマにスピーチをしました。スピーチの発表はできませんでしたが、先生の後に続いてスピーチ原稿を読むことができました。次回は発表できるように先生と練習しよう！</t>
  </si>
  <si>
    <t>19級では、自分や家族の紹介（できること・性格など）をしました。先生の後に続いてまねをして英語のあいさつができました。</t>
  </si>
  <si>
    <t>18級では、ものがどこにあるか場所を説明する表現・自分の習慣について学習をしました。スピーチでは、発表はできませんでしたが、先生の後に続いてスピーチ原稿を読むことができました。次回は発表できるように先生と練習しよう！</t>
  </si>
  <si>
    <t>16級では、道案内、将来の夢、家族紹介の学習をしました。テストでは、「誕生日にほしいもの(16級)・年中行事(16級)・家族紹介」にテーマにスピーチをしました。スピーチの発表はできませんでしたが、先生の後に続いてスピーチ原稿を読むことができました。次回は発表できるように先生と練習しよう！</t>
  </si>
  <si>
    <t>15級では、世界の国々にある建物や有名なものについて学習しました。先生の後に続いてまねをして英語のあいさつができました。</t>
  </si>
  <si>
    <t>14級では、「出身・自分の国にあるもの・それがどんなものか・ふだんすること・時々すること・いつもすること」をテーマにスピーチをしました。スピーチの発表はできませんでしたが、先生の後に続いてスピーチ原稿を読むことができました。次回は発表できるように先生と練習しよう！</t>
  </si>
  <si>
    <t>13級では、病院でお医者さんに症状を英語で伝える表現・三人称単数現在形のS・現在進行形・Be動詞を学習しました。先生の後に続いてまねをして英語のあいさつができました。</t>
  </si>
  <si>
    <t>12級では、過去1週間にしたことをテーマにスピーチをしました。スピーチの発表はできませんでしたが、先生の後に続いてスピーチ原稿を読むことができました。次回は発表できるように先生と練習しよう！</t>
  </si>
  <si>
    <t>11級では、Why?（なぜ）に対して理由を説明する学習しました。先生の後に続いてまねをして英語のあいさつができました。</t>
  </si>
  <si>
    <t>10級では、「自分の出身地・出身地の有名な事柄・自分が持っているもの・自分が得意な事・自分の日常・家族の職業・家族が得意な事・自分が好きな事とその理由」をテーマにスピーチをしました。スピーチの発表はできませんでしたが、先生の後に続いてスピーチ原稿を読むことができました。次回は発表できるように先生と練習しよう！</t>
  </si>
  <si>
    <r>
      <rPr>
        <rFont val="游ゴシック"/>
        <color theme="1"/>
        <sz val="11.0"/>
      </rPr>
      <t>9</t>
    </r>
    <r>
      <rPr>
        <rFont val="游ゴシック"/>
        <color theme="1"/>
        <sz val="11.0"/>
      </rPr>
      <t>級では不定詞</t>
    </r>
    <r>
      <rPr>
        <rFont val="游ゴシック"/>
        <color theme="1"/>
        <sz val="11.0"/>
      </rPr>
      <t>/</t>
    </r>
    <r>
      <rPr>
        <rFont val="游ゴシック"/>
        <color theme="1"/>
        <sz val="11.0"/>
      </rPr>
      <t>過去進行形</t>
    </r>
    <r>
      <rPr>
        <rFont val="游ゴシック"/>
        <color theme="1"/>
        <sz val="11.0"/>
      </rPr>
      <t>/when</t>
    </r>
    <r>
      <rPr>
        <rFont val="游ゴシック"/>
        <color theme="1"/>
        <sz val="11.0"/>
      </rPr>
      <t>を使った表現、</t>
    </r>
    <r>
      <rPr>
        <rFont val="游ゴシック"/>
        <color theme="1"/>
        <sz val="11.0"/>
      </rPr>
      <t xml:space="preserve">
to+</t>
    </r>
    <r>
      <rPr>
        <rFont val="游ゴシック"/>
        <color theme="1"/>
        <sz val="11.0"/>
      </rPr>
      <t>動詞の原形</t>
    </r>
    <r>
      <rPr>
        <rFont val="游ゴシック"/>
        <color theme="1"/>
        <sz val="11.0"/>
      </rPr>
      <t>(</t>
    </r>
    <r>
      <rPr>
        <rFont val="游ゴシック"/>
        <color theme="1"/>
        <sz val="11.0"/>
      </rPr>
      <t>すること</t>
    </r>
    <r>
      <rPr>
        <rFont val="游ゴシック"/>
        <color theme="1"/>
        <sz val="11.0"/>
      </rPr>
      <t>/</t>
    </r>
    <r>
      <rPr>
        <rFont val="游ゴシック"/>
        <color theme="1"/>
        <sz val="11.0"/>
      </rPr>
      <t>するための・すべき</t>
    </r>
    <r>
      <rPr>
        <rFont val="游ゴシック"/>
        <color theme="1"/>
        <sz val="11.0"/>
      </rPr>
      <t>/</t>
    </r>
    <r>
      <rPr>
        <rFont val="游ゴシック"/>
        <color theme="1"/>
        <sz val="11.0"/>
      </rPr>
      <t>するために・</t>
    </r>
    <r>
      <rPr>
        <rFont val="游ゴシック"/>
        <color theme="1"/>
        <sz val="11.0"/>
      </rPr>
      <t>~</t>
    </r>
    <r>
      <rPr>
        <rFont val="游ゴシック"/>
        <color theme="1"/>
        <sz val="11.0"/>
      </rPr>
      <t>して</t>
    </r>
    <r>
      <rPr>
        <rFont val="游ゴシック"/>
        <color theme="1"/>
        <sz val="11.0"/>
      </rPr>
      <t>)</t>
    </r>
    <r>
      <rPr>
        <rFont val="游ゴシック"/>
        <color theme="1"/>
        <sz val="11.0"/>
      </rPr>
      <t>と</t>
    </r>
    <r>
      <rPr>
        <rFont val="游ゴシック"/>
        <color theme="1"/>
        <sz val="11.0"/>
      </rPr>
      <t>was/were+</t>
    </r>
    <r>
      <rPr>
        <rFont val="游ゴシック"/>
        <color theme="1"/>
        <sz val="11.0"/>
      </rPr>
      <t>動詞</t>
    </r>
    <r>
      <rPr>
        <rFont val="游ゴシック"/>
        <color theme="1"/>
        <sz val="11.0"/>
      </rPr>
      <t>ing</t>
    </r>
    <r>
      <rPr>
        <rFont val="游ゴシック"/>
        <color theme="1"/>
        <sz val="11.0"/>
      </rPr>
      <t>を学習しました。</t>
    </r>
    <r>
      <rPr>
        <rFont val="游ゴシック"/>
        <color theme="1"/>
        <sz val="11.0"/>
      </rPr>
      <t xml:space="preserve">
</t>
    </r>
    <r>
      <rPr>
        <rFont val="游ゴシック"/>
        <color theme="1"/>
        <sz val="11.0"/>
      </rPr>
      <t>テストでは過去のある時点で誰が何をしていたかを説明する英語を使いアリバイゲームをしました。自力ではできませんでしたが、先生の後に続いて自分の説明をすることができました。次回は自力で発表できるように先生と練習しよう！</t>
    </r>
  </si>
  <si>
    <t>8級では、「家族の性格・家族がふだんすること・ある日の家族との思い出・自分の週末の紹介・週末にする予定・雨天の場合の予定・週末にしなくてもよいこと・週末にしなくてはいけないこと」をテーマにスピーチをしました。スピーチの発表はできませんでしたが、先生の後に続いてスピーチ原稿を読むことができました。次回は発表できるように先生と練習しよう！</t>
  </si>
  <si>
    <t>7級では、さまざまな人やものを比べる表現を学習しました。先生の後に続いてまねをして英語でのあいさつや自己紹介ができました。</t>
  </si>
  <si>
    <t>6級では、自分がしたいことをテーマにスピーチをしました。スピーチの発表はできませんでしたが、先生の後に続いてスピーチ原稿を読むことができました。次回は発表できるように先生と練習しよう！</t>
  </si>
  <si>
    <t>5級では、現在完了形の表現を学習しました。先生の後に続いてまねをして英語でのあいさつや自己紹介ができました。</t>
  </si>
  <si>
    <t>4級では、「自分についての紹介・生まれ・今住んでいるところ・することが好きなこと・長い間していること・持っている特別なもの・行ったことがある場所・その場所の説明・終わりのあいさつ」をテーマにスピーチをしました。スピーチの発表はできませんでしたが、先生の後に続いてスピーチ原稿を読むことができました。次回は発表できるように先生と練習しよう！</t>
  </si>
  <si>
    <t>3級では、さまざまな表現(仮定法・不可疑問・間接疑問など)を学習しました。先生の後に続いてまねをして英語でのあいさつや自己紹介ができました。</t>
  </si>
  <si>
    <t>2級では、9級から3級までに学習した文法が入った長めの自己紹介をテーマにスピーチをしました（生まれ・育ち・2つのものを比べてどちらが好きかとその理由・将来の夢としたいこと・どんな人になりたいか・もしお金持ちだったらしてみたいこと）。スピーチの発表はできませんでしたが、先生の後に続いてスピーチ原稿を読むことができました。次回は発表できるように先生と練習しよう！</t>
  </si>
  <si>
    <t>1c2</t>
  </si>
  <si>
    <t>30c3</t>
  </si>
  <si>
    <t>29c3</t>
  </si>
  <si>
    <t>28c3</t>
  </si>
  <si>
    <t>27c3</t>
  </si>
  <si>
    <t>26c3</t>
  </si>
  <si>
    <t>25c3</t>
  </si>
  <si>
    <t>先生の後に続いてまねをして"Hello"ができました。</t>
  </si>
  <si>
    <t>23級では、ショッピングで役に立つ表現を学習しました。"What's your name?"に答えることができました！</t>
  </si>
  <si>
    <t>22級では、ほしいものや必要なものを英語で言う表現を学習しました。自分の名前を英語で言えました！</t>
  </si>
  <si>
    <t>自分の名前を英語で言えました！</t>
  </si>
  <si>
    <t>20級では、「自分の名前・年れい・体の調子・好きなもの・好きではないもの・持っているもの・ほしいもの・暑い日に着るもの・天気」をテーマにスピーチをしました。先生のヒントもありながら、スピーチ原稿を自分で読むことができました。頑張りましたね！次回は少し原稿を覚えてスピーチに挑戦してみよう☆</t>
  </si>
  <si>
    <t>19級では、自分や家族の紹介（できること・性格など）をしました。自分の名前を英語で言えました！</t>
  </si>
  <si>
    <t>18級では、ものがどこにあるか場所を説明する表現・自分の習慣について学習をしました。スピーチでは、先生のヒントもありながら、スピーチ原稿を自分で読むことができました。頑張りましたね！次回は少し原稿を覚えてスピーチに挑戦してみよう☆</t>
  </si>
  <si>
    <t>16級では、道案内、将来の夢、家族紹介の学習をしました。テストでは、「誕生日にほしいもの(16級)・年中行事(16級)・家族紹介」にテーマにスピーチをしました。先生のヒントもありながら、スピーチ原稿を自分で読むことができました。頑張りましたね！次回は少し原稿を覚えてスピーチに挑戦してみよう☆</t>
  </si>
  <si>
    <t>15級では、世界の国々にある建物や有名なものについて学習しました。自分の名前を英語で言えました！</t>
  </si>
  <si>
    <t>14級では、「出身・自分の国にあるもの・それがどんなものか・ふだんすること・時々すること・いつもすること」をテーマにスピーチをしました。先生のヒントもありながら、スピーチ原稿を自分で読むことができました。頑張りましたね！次回は少し原稿を覚えてスピーチに挑戦してみよう☆</t>
  </si>
  <si>
    <t>13級では、病院でお医者さんに症状を英語で伝える表現・三人称単数現在形のS・現在進行形・Be動詞を学習しました。自分の名前を英語で言えました！</t>
  </si>
  <si>
    <t>12級では、過去1週間にしたことをテーマにスピーチをしました。先生のヒントもありながら、スピーチ原稿を自分で読むことができました。頑張りましたね！次回は少し原稿を覚えてスピーチに挑戦してみよう☆</t>
  </si>
  <si>
    <t>11級では、Why?（なぜ）に対して理由を説明する学習しました。自分の名前・年れいを英語で言えました！</t>
  </si>
  <si>
    <t>10級では、「自分の出身地・出身地の有名な事柄・自分が持っているもの・自分が得意な事・自分の日常・家族の職業・家族が得意な事・自分が好きな事とその理由」をテーマにスピーチをしました。先生のヒントもありながら、スピーチ原稿を自分で読むことができました。頑張りましたね！次回は少し原稿を覚えてスピーチに挑戦してみよう☆</t>
  </si>
  <si>
    <r>
      <rPr>
        <rFont val="游ゴシック"/>
        <color theme="1"/>
        <sz val="11.0"/>
      </rPr>
      <t>9</t>
    </r>
    <r>
      <rPr>
        <rFont val="游ゴシック"/>
        <color theme="1"/>
        <sz val="11.0"/>
      </rPr>
      <t>級では不定詞</t>
    </r>
    <r>
      <rPr>
        <rFont val="游ゴシック"/>
        <color theme="1"/>
        <sz val="11.0"/>
      </rPr>
      <t>/</t>
    </r>
    <r>
      <rPr>
        <rFont val="游ゴシック"/>
        <color theme="1"/>
        <sz val="11.0"/>
      </rPr>
      <t>過去進行形</t>
    </r>
    <r>
      <rPr>
        <rFont val="游ゴシック"/>
        <color theme="1"/>
        <sz val="11.0"/>
      </rPr>
      <t>/when</t>
    </r>
    <r>
      <rPr>
        <rFont val="游ゴシック"/>
        <color theme="1"/>
        <sz val="11.0"/>
      </rPr>
      <t>を使った表現、</t>
    </r>
    <r>
      <rPr>
        <rFont val="游ゴシック"/>
        <color theme="1"/>
        <sz val="11.0"/>
      </rPr>
      <t xml:space="preserve">
to+</t>
    </r>
    <r>
      <rPr>
        <rFont val="游ゴシック"/>
        <color theme="1"/>
        <sz val="11.0"/>
      </rPr>
      <t>動詞の原形</t>
    </r>
    <r>
      <rPr>
        <rFont val="游ゴシック"/>
        <color theme="1"/>
        <sz val="11.0"/>
      </rPr>
      <t>(</t>
    </r>
    <r>
      <rPr>
        <rFont val="游ゴシック"/>
        <color theme="1"/>
        <sz val="11.0"/>
      </rPr>
      <t>すること</t>
    </r>
    <r>
      <rPr>
        <rFont val="游ゴシック"/>
        <color theme="1"/>
        <sz val="11.0"/>
      </rPr>
      <t>/</t>
    </r>
    <r>
      <rPr>
        <rFont val="游ゴシック"/>
        <color theme="1"/>
        <sz val="11.0"/>
      </rPr>
      <t>するための・すべき</t>
    </r>
    <r>
      <rPr>
        <rFont val="游ゴシック"/>
        <color theme="1"/>
        <sz val="11.0"/>
      </rPr>
      <t>/</t>
    </r>
    <r>
      <rPr>
        <rFont val="游ゴシック"/>
        <color theme="1"/>
        <sz val="11.0"/>
      </rPr>
      <t>するために・</t>
    </r>
    <r>
      <rPr>
        <rFont val="游ゴシック"/>
        <color theme="1"/>
        <sz val="11.0"/>
      </rPr>
      <t>~</t>
    </r>
    <r>
      <rPr>
        <rFont val="游ゴシック"/>
        <color theme="1"/>
        <sz val="11.0"/>
      </rPr>
      <t>して</t>
    </r>
    <r>
      <rPr>
        <rFont val="游ゴシック"/>
        <color theme="1"/>
        <sz val="11.0"/>
      </rPr>
      <t>)</t>
    </r>
    <r>
      <rPr>
        <rFont val="游ゴシック"/>
        <color theme="1"/>
        <sz val="11.0"/>
      </rPr>
      <t>と</t>
    </r>
    <r>
      <rPr>
        <rFont val="游ゴシック"/>
        <color theme="1"/>
        <sz val="11.0"/>
      </rPr>
      <t>was/were+</t>
    </r>
    <r>
      <rPr>
        <rFont val="游ゴシック"/>
        <color theme="1"/>
        <sz val="11.0"/>
      </rPr>
      <t>動詞</t>
    </r>
    <r>
      <rPr>
        <rFont val="游ゴシック"/>
        <color theme="1"/>
        <sz val="11.0"/>
      </rPr>
      <t>ing</t>
    </r>
    <r>
      <rPr>
        <rFont val="游ゴシック"/>
        <color theme="1"/>
        <sz val="11.0"/>
      </rPr>
      <t>を学習しました。</t>
    </r>
    <r>
      <rPr>
        <rFont val="游ゴシック"/>
        <color theme="1"/>
        <sz val="11.0"/>
      </rPr>
      <t xml:space="preserve">
</t>
    </r>
    <r>
      <rPr>
        <rFont val="游ゴシック"/>
        <color theme="1"/>
        <sz val="11.0"/>
      </rPr>
      <t>テストでは過去のある時点で誰が何をしていたかを説明する英語を使いアリバイゲームをしました。先生のヒントもありながら、自分の説明をする事ができました。頑張りましたね！次回はヒント無しで発言することに挑戦してみよう</t>
    </r>
    <r>
      <rPr>
        <rFont val="Segoe UI Symbol"/>
        <color theme="1"/>
        <sz val="11.0"/>
      </rPr>
      <t>☆</t>
    </r>
  </si>
  <si>
    <t>8級では、「家族の性格・家族がふだんすること・ある日の家族との思い出・自分の週末の紹介・週末にする予定・雨天の場合の予定・週末にしなくてもよいこと・週末にしなくてはいけないこと」をテーマにスピーチをしました。先生のヒントもありながら、スピーチ原稿を自分で読むことができました。頑張りましたね！次回は少し原稿を覚えてスピーチに挑戦してみよう☆</t>
  </si>
  <si>
    <t>7級では、さまざまな人やものを比べる表現を学習しました。自分の名前を英語で言えました！</t>
  </si>
  <si>
    <t>6級では、自分がしたいことをテーマにスピーチをしました。先生のヒントもありながら、スピーチ原稿を自分で読むことができました。頑張りましたね！次回は少し原稿を覚えてスピーチに挑戦してみよう☆</t>
  </si>
  <si>
    <t>5級では、現在完了形の表現を学習しました。自分の名前・年れいを英語で言えました！</t>
  </si>
  <si>
    <t>4級では、「自分についての紹介・生まれ・今住んでいるところ・することが好きなこと・長い間していること・持っている特別なもの・行ったことがある場所・その場所の説明・終わりのあいさつ」をテーマにスピーチをしました。先生のヒントもありながら、スピーチ原稿を自分で読むことができました。頑張りましたね！次回は少し原稿を覚えてスピーチに挑戦してみよう☆</t>
  </si>
  <si>
    <t>3級では、さまざまな表現(仮定法・不可疑問・間接疑問など)を学習しました。自分の名前・年齢・体の調子・天気を英語で言えました！</t>
  </si>
  <si>
    <t>2級では、9級から3級までに学習した文法が入った長めの自己紹介をテーマにスピーチをしました（生まれ・育ち・2つのものを比べてどちらが好きかとその理由・将来の夢としたいこと・どんな人になりたいか・もしお金持ちだったらしてみたいこと）。先生のヒントもありながら、スピーチ原稿を自分で読むことができました。頑張りましたね！次回は少し原稿を覚えてスピーチに挑戦してみよう☆</t>
  </si>
  <si>
    <t>1c3</t>
  </si>
  <si>
    <t>30c4</t>
  </si>
  <si>
    <t>29c4</t>
  </si>
  <si>
    <t>28c4</t>
  </si>
  <si>
    <t>27c4</t>
  </si>
  <si>
    <t>26c4</t>
  </si>
  <si>
    <t>25c4</t>
  </si>
  <si>
    <t>"Hello"を英語で言えました！</t>
  </si>
  <si>
    <t>23級では、ショッピングで役に立つ表現を学習しました。自分の名前、年れいを英語で言えました！</t>
  </si>
  <si>
    <t>22級では、ほしいものや必要なものを英語で言う表現を学習しました。自分の名前・年れいを英語で言えました！</t>
  </si>
  <si>
    <t>自分の名前・年れいを英語で言えました！</t>
  </si>
  <si>
    <t>20級では、「自分の名前・年れい・体の調子・好きなもの・好きではないもの・持っているもの・ほしいもの・暑い日に着るもの・天気」をテーマにスピーチをしました。準備や練習もがんばり、一部原稿を見ないで発表をすることができました！次回は原稿をすべて覚えてスピーチに挑戦してみよう♪　Good☆</t>
  </si>
  <si>
    <t>19級では、自分や家族の紹介（できること・性格など）をしました。自分の名前・年れいを英語で言えました！</t>
  </si>
  <si>
    <t>18級では、ものがどこにあるか場所を説明する表現・自分の習慣について学習をしました。スピーチでは、準備や練習もがんばり、一部原稿を見ないで発表をすることができました！次回は原稿をすべて覚えてスピーチに挑戦してみよう♪　Good☆</t>
  </si>
  <si>
    <t>16級では、道案内、将来の夢、家族紹介の学習をしました。テストでは、「誕生日にほしいもの(16級)・年中行事(16級)・家族紹介」にテーマにスピーチをしました。準備や練習もがんばり、一部原稿を見ないで発表をすることができました！次回は原稿をすべて覚えてスピーチに挑戦してみよう♪　Good☆</t>
  </si>
  <si>
    <t>15級では、世界の国々にある建物や有名なものについて学習しました。自分の名前・年れいを英語で言えました！</t>
  </si>
  <si>
    <t>14級では、「出身・自分の国にあるもの・それがどんなものか・ふだんすること・時々すること・いつもすること」をテーマにスピーチをしました。準備や練習もがんばり、一部原稿を見ないで発表をすることができました！次回は原稿をすべて覚えてスピーチに挑戦してみよう♪　Good☆</t>
  </si>
  <si>
    <t>13級では、病院でお医者さんに症状を英語で伝える表現・三人称単数現在形のS・現在進行形・Be動詞を学習しました。自分の名前・年れいを英語で言えました！</t>
  </si>
  <si>
    <t>12級では、過去1週間にしたことをテーマにスピーチをしました。準備や練習もがんばり、一部原稿を見ないで発表をすることができました！次回は原稿をすべて覚えてスピーチに挑戦してみよう♪　Good☆</t>
  </si>
  <si>
    <t>11級では、Why?（なぜ）に対して理由を説明する学習しました。自分の名前・年れい・体の調子を英語で言えました！</t>
  </si>
  <si>
    <t>10級では、「自分の出身地・出身地の有名な事柄・自分が持っているもの・自分が得意な事・自分の日常・家族の職業・家族が得意な事・自分が好きな事とその理由」をテーマにスピーチをしました。準備や練習もがんばり、一部原稿を見ないで発表をすることができました！次回は原稿をすべて覚えてスピーチに挑戦してみよう♪　Good☆</t>
  </si>
  <si>
    <r>
      <rPr>
        <rFont val="游ゴシック"/>
        <color theme="1"/>
        <sz val="11.0"/>
      </rPr>
      <t>9</t>
    </r>
    <r>
      <rPr>
        <rFont val="游ゴシック"/>
        <color theme="1"/>
        <sz val="11.0"/>
      </rPr>
      <t>級では不定詞</t>
    </r>
    <r>
      <rPr>
        <rFont val="游ゴシック"/>
        <color theme="1"/>
        <sz val="11.0"/>
      </rPr>
      <t>/</t>
    </r>
    <r>
      <rPr>
        <rFont val="游ゴシック"/>
        <color theme="1"/>
        <sz val="11.0"/>
      </rPr>
      <t>過去進行形</t>
    </r>
    <r>
      <rPr>
        <rFont val="游ゴシック"/>
        <color theme="1"/>
        <sz val="11.0"/>
      </rPr>
      <t>/when</t>
    </r>
    <r>
      <rPr>
        <rFont val="游ゴシック"/>
        <color theme="1"/>
        <sz val="11.0"/>
      </rPr>
      <t>を使った表現、</t>
    </r>
    <r>
      <rPr>
        <rFont val="游ゴシック"/>
        <color theme="1"/>
        <sz val="11.0"/>
      </rPr>
      <t xml:space="preserve">
to+</t>
    </r>
    <r>
      <rPr>
        <rFont val="游ゴシック"/>
        <color theme="1"/>
        <sz val="11.0"/>
      </rPr>
      <t>動詞の原形</t>
    </r>
    <r>
      <rPr>
        <rFont val="游ゴシック"/>
        <color theme="1"/>
        <sz val="11.0"/>
      </rPr>
      <t>(</t>
    </r>
    <r>
      <rPr>
        <rFont val="游ゴシック"/>
        <color theme="1"/>
        <sz val="11.0"/>
      </rPr>
      <t>すること</t>
    </r>
    <r>
      <rPr>
        <rFont val="游ゴシック"/>
        <color theme="1"/>
        <sz val="11.0"/>
      </rPr>
      <t>/</t>
    </r>
    <r>
      <rPr>
        <rFont val="游ゴシック"/>
        <color theme="1"/>
        <sz val="11.0"/>
      </rPr>
      <t>するための・すべき</t>
    </r>
    <r>
      <rPr>
        <rFont val="游ゴシック"/>
        <color theme="1"/>
        <sz val="11.0"/>
      </rPr>
      <t>/</t>
    </r>
    <r>
      <rPr>
        <rFont val="游ゴシック"/>
        <color theme="1"/>
        <sz val="11.0"/>
      </rPr>
      <t>するために・</t>
    </r>
    <r>
      <rPr>
        <rFont val="游ゴシック"/>
        <color theme="1"/>
        <sz val="11.0"/>
      </rPr>
      <t>~</t>
    </r>
    <r>
      <rPr>
        <rFont val="游ゴシック"/>
        <color theme="1"/>
        <sz val="11.0"/>
      </rPr>
      <t>して</t>
    </r>
    <r>
      <rPr>
        <rFont val="游ゴシック"/>
        <color theme="1"/>
        <sz val="11.0"/>
      </rPr>
      <t>)</t>
    </r>
    <r>
      <rPr>
        <rFont val="游ゴシック"/>
        <color theme="1"/>
        <sz val="11.0"/>
      </rPr>
      <t>と</t>
    </r>
    <r>
      <rPr>
        <rFont val="游ゴシック"/>
        <color theme="1"/>
        <sz val="11.0"/>
      </rPr>
      <t>was/were+</t>
    </r>
    <r>
      <rPr>
        <rFont val="游ゴシック"/>
        <color theme="1"/>
        <sz val="11.0"/>
      </rPr>
      <t>動詞</t>
    </r>
    <r>
      <rPr>
        <rFont val="游ゴシック"/>
        <color theme="1"/>
        <sz val="11.0"/>
      </rPr>
      <t>ing</t>
    </r>
    <r>
      <rPr>
        <rFont val="游ゴシック"/>
        <color theme="1"/>
        <sz val="11.0"/>
      </rPr>
      <t>を学習しました。</t>
    </r>
    <r>
      <rPr>
        <rFont val="游ゴシック"/>
        <color theme="1"/>
        <sz val="11.0"/>
      </rPr>
      <t xml:space="preserve">
</t>
    </r>
    <r>
      <rPr>
        <rFont val="游ゴシック"/>
        <color theme="1"/>
        <sz val="11.0"/>
      </rPr>
      <t>テストでは過去のある時点で誰が何をしていたかを説明する英語を使いアリバイゲームをしました。準備や練習もがんばり、一部自分の言葉で説明することができました！次回は先生の急な質問にも全て英語で答えることに挑戦してみよう</t>
    </r>
    <r>
      <rPr>
        <rFont val="Segoe UI Symbol"/>
        <color theme="1"/>
        <sz val="11.0"/>
      </rPr>
      <t>♪</t>
    </r>
    <r>
      <rPr>
        <rFont val="游ゴシック"/>
        <color theme="1"/>
        <sz val="11.0"/>
      </rPr>
      <t xml:space="preserve">　</t>
    </r>
    <r>
      <rPr>
        <rFont val="游ゴシック"/>
        <color theme="1"/>
        <sz val="11.0"/>
      </rPr>
      <t>Good</t>
    </r>
    <r>
      <rPr>
        <rFont val="Segoe UI Symbol"/>
        <color theme="1"/>
        <sz val="11.0"/>
      </rPr>
      <t>☆</t>
    </r>
  </si>
  <si>
    <t>8級では、「家族の性格・家族がふだんすること・ある日の家族との思い出・自分の週末の紹介・週末にする予定・雨天の場合の予定・週末にしなくてもよいこと・週末にしなくてはいけないこと」をテーマにスピーチをしました。準備や練習もがんばり、一部原稿を見ないで発表をすることができました！次回は原稿をすべて覚えてスピーチに挑戦してみよう♪　Good☆</t>
  </si>
  <si>
    <t>7級では、さまざまな人やものを比べる表現を学習しました。自分の名前・年れいを英語で言えました！</t>
  </si>
  <si>
    <t>6級では、自分がしたいことをテーマにスピーチをしました。準備や練習もがんばり、一部原稿を見ないで発表をすることができました！次回は原稿をすべて覚えてスピーチに挑戦してみよう♪　Good☆</t>
  </si>
  <si>
    <t>5級では、現在完了形の表現を学習しました。自分の名前・年れい・体の調子を英語で言えました！</t>
  </si>
  <si>
    <t>4級では、「自分についての紹介・生まれ・今住んでいるところ・することが好きなこと・長い間していること・持っている特別なもの・行ったことがある場所・その場所の説明・終わりのあいさつ」をテーマにスピーチをしました。準備や練習もがんばり、一部原稿を見ないで発表をすることができました！次回は原稿をすべて覚えてスピーチに挑戦してみよう♪　Good☆</t>
  </si>
  <si>
    <t>3級では、さまざまな表現(仮定法・不可疑問・間接疑問など)を学習しました。自分の名前・年齢・体の調子・天気・誕生日を英語で言えました！</t>
  </si>
  <si>
    <t>2級では、9級から3級までに学習した文法が入った長めの自己紹介をテーマにスピーチをしました（生まれ・育ち・2つのものを比べてどちらが好きかとその理由・将来の夢としたいこと・どんな人になりたいか・もしお金持ちだったらしてみたいこと）。準備や練習もがんばり、一部原稿を見ないで発表をすることができました！次回は原稿をすべて覚えてスピーチに挑戦してみよう♪　Good☆</t>
  </si>
  <si>
    <t>1c4</t>
  </si>
  <si>
    <t>30c5</t>
  </si>
  <si>
    <t>29c5</t>
  </si>
  <si>
    <t>28c5</t>
  </si>
  <si>
    <t>27c5</t>
  </si>
  <si>
    <t>26c5</t>
  </si>
  <si>
    <t>25c5</t>
  </si>
  <si>
    <t>英語であいさつはばっちり！Great☆</t>
  </si>
  <si>
    <t>23級では、ショッピングで役に立つ表現を学習しました。自分の名前、年れい、体の調子を英語で言えました！Great☆</t>
  </si>
  <si>
    <t>22級では、ほしいものや必要なものを英語で言う表現を学習しました。英語での自己紹介はばっちり！Great☆</t>
  </si>
  <si>
    <t>英語での自己紹介はばっちり！Great☆</t>
  </si>
  <si>
    <t>20級では、「自分の名前・年れい・体の調子・好きなもの・好きではないもの・持っているもの・ほしいもの・暑い日に着るもの・天気」を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</si>
  <si>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t>19級では、自分や家族の紹介（できること・性格など）をしました。英語での自己紹介はばっちり！Great☆</t>
  </si>
  <si>
    <t>18級では、ものがどこにあるか場所を説明する表現・自分の習慣について学習をしました。スピーチでは、準備や練習をとてもしっかりとして、スピーチを見ないで発表することができました！発表を聞いている人のことも考えて、目線やジェスチャーなども意識することができました。Awesome☆</t>
  </si>
  <si>
    <t>16級では、道案内、将来の夢、家族紹介の学習をしました。テストでは、「誕生日にほしいもの(16級)・年中行事(16級)・家族紹介」に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</si>
  <si>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t>15級では、世界の国々にある建物や有名なものについて学習しました。英語での自己紹介はばっちり！Great☆</t>
  </si>
  <si>
    <t>14級では、「出身・自分の国にあるもの・それがどんなものか・ふだんすること・時々すること・いつもすること」を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</si>
  <si>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t>13級では、病院でお医者さんに症状を英語で伝える表現・三人称単数現在形のS・現在進行形・Be動詞を学習しました。英語での自己紹介はばっちり！Great☆</t>
  </si>
  <si>
    <t>12級では、過去1週間にしたことを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</si>
  <si>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t>11級では、Why?（なぜ）に対して理由を説明する学習しました。英語での自己紹介はばっちり！Great☆</t>
  </si>
  <si>
    <t>10級では、「自分の出身地・出身地の有名な事柄・自分が持っているもの・自分が得意な事・自分の日常・家族の職業・家族が得意な事・自分が好きな事とその理由」を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</si>
  <si>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r>
      <rPr>
        <rFont val="游ゴシック"/>
        <color theme="1"/>
        <sz val="11.0"/>
      </rPr>
      <t>9</t>
    </r>
    <r>
      <rPr>
        <rFont val="游ゴシック"/>
        <color theme="1"/>
        <sz val="11.0"/>
      </rPr>
      <t>級では不定詞</t>
    </r>
    <r>
      <rPr>
        <rFont val="游ゴシック"/>
        <color theme="1"/>
        <sz val="11.0"/>
      </rPr>
      <t>/</t>
    </r>
    <r>
      <rPr>
        <rFont val="游ゴシック"/>
        <color theme="1"/>
        <sz val="11.0"/>
      </rPr>
      <t>過去進行形</t>
    </r>
    <r>
      <rPr>
        <rFont val="游ゴシック"/>
        <color theme="1"/>
        <sz val="11.0"/>
      </rPr>
      <t>/when</t>
    </r>
    <r>
      <rPr>
        <rFont val="游ゴシック"/>
        <color theme="1"/>
        <sz val="11.0"/>
      </rPr>
      <t>を使った表現、</t>
    </r>
    <r>
      <rPr>
        <rFont val="游ゴシック"/>
        <color theme="1"/>
        <sz val="11.0"/>
      </rPr>
      <t xml:space="preserve">
to+</t>
    </r>
    <r>
      <rPr>
        <rFont val="游ゴシック"/>
        <color theme="1"/>
        <sz val="11.0"/>
      </rPr>
      <t>動詞の原形</t>
    </r>
    <r>
      <rPr>
        <rFont val="游ゴシック"/>
        <color theme="1"/>
        <sz val="11.0"/>
      </rPr>
      <t>(</t>
    </r>
    <r>
      <rPr>
        <rFont val="游ゴシック"/>
        <color theme="1"/>
        <sz val="11.0"/>
      </rPr>
      <t>すること</t>
    </r>
    <r>
      <rPr>
        <rFont val="游ゴシック"/>
        <color theme="1"/>
        <sz val="11.0"/>
      </rPr>
      <t>/</t>
    </r>
    <r>
      <rPr>
        <rFont val="游ゴシック"/>
        <color theme="1"/>
        <sz val="11.0"/>
      </rPr>
      <t>するための・すべき</t>
    </r>
    <r>
      <rPr>
        <rFont val="游ゴシック"/>
        <color theme="1"/>
        <sz val="11.0"/>
      </rPr>
      <t>/</t>
    </r>
    <r>
      <rPr>
        <rFont val="游ゴシック"/>
        <color theme="1"/>
        <sz val="11.0"/>
      </rPr>
      <t>するために・</t>
    </r>
    <r>
      <rPr>
        <rFont val="游ゴシック"/>
        <color theme="1"/>
        <sz val="11.0"/>
      </rPr>
      <t>~</t>
    </r>
    <r>
      <rPr>
        <rFont val="游ゴシック"/>
        <color theme="1"/>
        <sz val="11.0"/>
      </rPr>
      <t>して</t>
    </r>
    <r>
      <rPr>
        <rFont val="游ゴシック"/>
        <color theme="1"/>
        <sz val="11.0"/>
      </rPr>
      <t>)</t>
    </r>
    <r>
      <rPr>
        <rFont val="游ゴシック"/>
        <color theme="1"/>
        <sz val="11.0"/>
      </rPr>
      <t>と</t>
    </r>
    <r>
      <rPr>
        <rFont val="游ゴシック"/>
        <color theme="1"/>
        <sz val="11.0"/>
      </rPr>
      <t>was/were+</t>
    </r>
    <r>
      <rPr>
        <rFont val="游ゴシック"/>
        <color theme="1"/>
        <sz val="11.0"/>
      </rPr>
      <t>動詞</t>
    </r>
    <r>
      <rPr>
        <rFont val="游ゴシック"/>
        <color theme="1"/>
        <sz val="11.0"/>
      </rPr>
      <t>ing</t>
    </r>
    <r>
      <rPr>
        <rFont val="游ゴシック"/>
        <color theme="1"/>
        <sz val="11.0"/>
      </rPr>
      <t>を学習しました。</t>
    </r>
    <r>
      <rPr>
        <rFont val="游ゴシック"/>
        <color theme="1"/>
        <sz val="11.0"/>
      </rPr>
      <t xml:space="preserve">
</t>
    </r>
    <r>
      <rPr>
        <rFont val="游ゴシック"/>
        <color theme="1"/>
        <sz val="11.0"/>
      </rPr>
      <t>テストでは過去のある時点で誰が何をしていたかを説明する英語を使いアリバイゲームをしました。準備や練習をとてもしっかりとして、用意した文章を使わず自分の言葉で説明することができました！説明を聞いている人のことも考えて、目線やジェスチャーなども意識することができました。</t>
    </r>
    <r>
      <rPr>
        <rFont val="游ゴシック"/>
        <color theme="1"/>
        <sz val="11.0"/>
      </rPr>
      <t>Awesome</t>
    </r>
    <r>
      <rPr>
        <rFont val="Segoe UI Symbol"/>
        <color theme="1"/>
        <sz val="11.0"/>
      </rPr>
      <t>☆</t>
    </r>
  </si>
  <si>
    <t>8級では、「家族の性格・家族がふだんすること・ある日の家族との思い出・自分の週末の紹介・週末にする予定・雨天の場合の予定・週末にしなくてもよいこと・週末にしなくてはいけないこと」を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</si>
  <si>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t>7級では、さまざまな人やものを比べる表現を学習しました。英語での自己紹介はばっちり！Great☆</t>
  </si>
  <si>
    <t>6級では、自分がしたいことを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</si>
  <si>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t>5級では、現在完了形の表現を学習しました。英語での自己紹介はばっちり！Great☆</t>
  </si>
  <si>
    <t>4級では、「自分についての紹介・生まれ・今住んでいるところ・することが好きなこと・長い間していること・持っている特別なもの・行ったことがある場所・その場所の説明・終わりのあいさつ」をテーマにスピーチをしました。準備や練習をとてもしっかりとして、スピーチを見ないで発表することができました！発表を聞いている人のことも考えて、目線やジェスチャーなども意識することができました。Awesome☆</t>
  </si>
  <si>
    <t>3級では、さまざまな表現(仮定法・不可疑問・間接疑問など)を学習しました。英語での自己紹介はカンペキ！Great☆</t>
  </si>
  <si>
    <t>2級では、9級から3級までに学習した文法が入った長めの自己紹介をテーマにスピーチをしました（生まれ・育ち・2つのものを比べてどちらが好きかとその理由・将来の夢としたいこと・どんな人になりたいか・もしお金持ちだったらしてみたいこと）。準備や練習をとてもしっかりとして、スピーチを見ないで発表することができました！発表を聞いている人のことも考えて、目線やジェスチャーなども意識することができました。Awesome☆</t>
  </si>
  <si>
    <t>1c5</t>
  </si>
  <si>
    <t>残念ながら、緊張してしまったのか先生の"What's your name?"を聞くことができませんでした。</t>
  </si>
  <si>
    <t>まだ練習中でお花の単語はわかりませんでした。</t>
  </si>
  <si>
    <t>まだ練習中で食べ物の単語はわかりませんでした。</t>
  </si>
  <si>
    <t>まだ練習中で曜日の単語はわかりませんでした。</t>
  </si>
  <si>
    <t>まだ練習中で楽器の単語はわかりませんでした。</t>
  </si>
  <si>
    <t>まだ練習中で体のパーツの単語はわかりませんでした。</t>
  </si>
  <si>
    <t>まだ練習中で国の単語はわかりませんでした。</t>
  </si>
  <si>
    <t>まだ練習中で動詞の単語はわかりませんでした。</t>
  </si>
  <si>
    <t>まだ練習中で形容詞の単語はわかりませんでした。</t>
  </si>
  <si>
    <t>まだ練習中で現在形の動詞はわかりませんでした。</t>
  </si>
  <si>
    <t>まだ練習中で3級の単語はわかりませんでした。</t>
  </si>
  <si>
    <t>まだ練習中で自分の名前は言えませんでした。</t>
  </si>
  <si>
    <t>先生の後に続いてまねをしてお花の単語が言えました。</t>
  </si>
  <si>
    <t>先生の後に続いてまねをして食べ物の単語が言えました。</t>
  </si>
  <si>
    <t>先生の後に続いてまねをして曜日の単語が言えました。</t>
  </si>
  <si>
    <t>先生の後に続いてまねをして楽器の単語が言えました。</t>
  </si>
  <si>
    <t>先生の後に続いてまねをして体のパーツの単語が言えました。</t>
  </si>
  <si>
    <t>先生の後に続いてまねをして国の単語が言えました。</t>
  </si>
  <si>
    <t>先生の後に続いてまねをして動詞の単語が言えました。</t>
  </si>
  <si>
    <t>先生の後に続いてまねをして形容詞の単語が言えました。</t>
  </si>
  <si>
    <t>先生の後に続いてまねをして現在形の動詞が言えました。</t>
  </si>
  <si>
    <t>先生の後に続いてまねをして3級の単語が言えました。</t>
  </si>
  <si>
    <t>先生の後に続いてまねをして自分の名前が言えました。</t>
  </si>
  <si>
    <t>お花の単語を英語で全て言えました！</t>
  </si>
  <si>
    <t>食べ物の単語を英語で全て言えました！</t>
  </si>
  <si>
    <t>曜日の単語を英語で全て言えました！</t>
  </si>
  <si>
    <t>楽器の単語を英語で全て言えました！</t>
  </si>
  <si>
    <t>体のパーツの単語を英語で全て言えました！</t>
  </si>
  <si>
    <t>国の単語を英語で全て言えました！</t>
  </si>
  <si>
    <t>動詞の単語を英語で全て言えました！</t>
  </si>
  <si>
    <t>形容詞の単語を英語で全て言えました！</t>
  </si>
  <si>
    <t>現在形の動詞を英語で全て言えました！</t>
  </si>
  <si>
    <t>3級の単語を英語で全て言えました！</t>
  </si>
  <si>
    <t>お花についての単語はばっちり！質問もあと少しでカンペキでした。</t>
  </si>
  <si>
    <t>食べ物の単語はばっちり！質問もあと少しでカンペキでした。</t>
  </si>
  <si>
    <t>曜日についての単語はばっちり！質問もあと少しでカンペキでした。</t>
  </si>
  <si>
    <t>楽器の単語はばっちり！質問もあと少しでカンペキでした。</t>
  </si>
  <si>
    <t>体のパーツについての単語はばっちり！質問もあと少しでカンペキでした。</t>
  </si>
  <si>
    <t>国の単語はばっちり！質問もあと少しでカンペキでした。</t>
  </si>
  <si>
    <t>動詞ついての単語はばっちり！質問もあと少しでカンペキでした。</t>
  </si>
  <si>
    <t>形容詞の単語はばっちり！自分で作文するにはあと少しでした。</t>
  </si>
  <si>
    <t>現在形の動詞はばっちり！自分で作文するにはあと少しでした。</t>
  </si>
  <si>
    <t>3級の単語はばっちり！自分で作文するにはあと少しでした。</t>
  </si>
  <si>
    <t>I'm__.と文で自分の名前を言えました！Wonderful☆</t>
  </si>
  <si>
    <t>お花についての質問・単語はばっちり！Wonderful☆</t>
  </si>
  <si>
    <t>食べ物についての質問(Do you want__?)・単語はばっちり！Wonderful☆</t>
  </si>
  <si>
    <t>曜日についての質問・単語はばっちり！Wonderful☆</t>
  </si>
  <si>
    <t>楽器についての質問(Do you like__?)・単語はばっちり！Wonderful☆</t>
  </si>
  <si>
    <t>体のパーツについての質問・単語はばっちり！Wonderful☆</t>
  </si>
  <si>
    <t>国についての質問・単語はばっちり！Wonderful☆</t>
  </si>
  <si>
    <t>動詞についての単語や質問①(Do you like to-?)はばっちり！Wonderful☆</t>
  </si>
  <si>
    <t>形容詞の単語を入れて作文するのもばっちり！Wonderful☆</t>
  </si>
  <si>
    <t>現在形の動詞と質問はばっちり！Wonderful☆</t>
  </si>
  <si>
    <t>3級の単語を入れて作文するのもばっちり！Wonderful☆</t>
  </si>
  <si>
    <t>残念ながら、緊張してしまったのかフォニックスの歌を聞くことができませんでした。</t>
  </si>
  <si>
    <t>まだ練習中で野菜の単語はわかりませんでした。</t>
  </si>
  <si>
    <t>まだ練習中で持ち物の単語はわかりませんでした。</t>
  </si>
  <si>
    <t>まだ練習中で反対言葉の単語はわかりませんでした。</t>
  </si>
  <si>
    <t>まだ練習中でスポーツの単語はわかりませんでした。</t>
  </si>
  <si>
    <t>まだ練習中で季節の単語はわかりませんでした。</t>
  </si>
  <si>
    <t>まだ練習中で自分の出身について言えませんでした。</t>
  </si>
  <si>
    <t>まだ練習中で症状の単語はわかりませんでした。</t>
  </si>
  <si>
    <t>まだ練習中で関連語・表現はわかりませんでした。</t>
  </si>
  <si>
    <t>まだ練習中で過去形の動詞はわかりませんでした。</t>
  </si>
  <si>
    <t>まだ練習中でifを使った質問には答えられませんでした。</t>
  </si>
  <si>
    <t>まだ練習中でフォニックスの歌を歌えませんでした。</t>
  </si>
  <si>
    <t>先生の後に続いてまねをして野菜の単語が言えました。</t>
  </si>
  <si>
    <t>先生の後に続いてまねをして持ち物の単語が言えました。</t>
  </si>
  <si>
    <t>先生の後に続いてまねをして反対言葉の単語が言えました。</t>
  </si>
  <si>
    <t>先生の後に続いてまねをしてスポーツの単語が言えました。</t>
  </si>
  <si>
    <t>先生の後に続いてまねをして季節の単語が言えました。</t>
  </si>
  <si>
    <t>先生の後に続いてまねをして自分の出身が言えました。</t>
  </si>
  <si>
    <t>先生の後に続いてまねをして症状の単語が言えました。</t>
  </si>
  <si>
    <t>先生の後に続いてまねをして関連語・表現が言えました。</t>
  </si>
  <si>
    <t>先生の後に続いてまねをして過去形の動詞が言えました。</t>
  </si>
  <si>
    <t>先生の後に続いてまねをしてifを使った質問に答えることができました。</t>
  </si>
  <si>
    <t>先生の後に続いてまねをしてフォニックスの歌が歌えました。</t>
  </si>
  <si>
    <t>野菜の単語を英語で全て言えました！</t>
  </si>
  <si>
    <t>持ち物の単語を英語で全て言えました！</t>
  </si>
  <si>
    <t>反対言葉の単語を英語で全て言えました！</t>
  </si>
  <si>
    <t>スポーツの単語を英語で全て言えました！</t>
  </si>
  <si>
    <t>季節の単語を英語で全て言えました！</t>
  </si>
  <si>
    <t>自分の出身について先生の質問に何とか答えられました！</t>
  </si>
  <si>
    <t>症状の単語を英語で全て言えました！</t>
  </si>
  <si>
    <t>関連語・表現を英語で全て言えました！</t>
  </si>
  <si>
    <t>過去形の動詞を英語で全て言えました！</t>
  </si>
  <si>
    <t>ifを使った質問に単語だけで何とか答えることができました。</t>
  </si>
  <si>
    <t>がんばってフォニックスの歌を歌えました！</t>
  </si>
  <si>
    <t>野菜の単語はばっちり！質問もあと少しでカンペキでした。</t>
  </si>
  <si>
    <t>持ち物の単語はばっちり！質問もあと少しでカンペキでした。</t>
  </si>
  <si>
    <t>反対言葉についての単語はばっちり！質問もあと少しでカンペキでした。</t>
  </si>
  <si>
    <t>スポーツの単語はばっちり！質問もあと少しでカンペキでした。</t>
  </si>
  <si>
    <t>季節についての単語はばっちり！質問もあと少しでカンペキでした。</t>
  </si>
  <si>
    <t>自分の出身について先生の質問にスムーズに答えれことができます！次は文でI'm from__.と文で言えるように先生と練習しよう。</t>
  </si>
  <si>
    <t>症状についての単語はばっちり！質問もあと少しでカンペキでした。</t>
  </si>
  <si>
    <t>関連語・表現はばっちり！自分で作文するにはあと少しでした。</t>
  </si>
  <si>
    <t>過去形の動詞はばっちり！自分で作文するにはあと少しでした。</t>
  </si>
  <si>
    <t>ifを使った質問に答えることができました。</t>
  </si>
  <si>
    <t>フォニックスの歌は完ぺきでした！Amazing☆</t>
  </si>
  <si>
    <t>野菜についての質問・単語はばっちり！Amazing☆</t>
  </si>
  <si>
    <t>持ち物についての質問(Do you wamt__?)・単語はばっちり！Amazing☆</t>
  </si>
  <si>
    <t>反対言葉についての質問・単語はばっちり！Amazing☆</t>
  </si>
  <si>
    <t>スポーツについての質問(Can you__?)・単語はばっちり！Amazing☆</t>
  </si>
  <si>
    <t>季節についての質問・単語はばっちり！Amazing☆</t>
  </si>
  <si>
    <t>自分の出身について先生の質問に文で完ぺきに答えられます！Amazing☆</t>
  </si>
  <si>
    <t>症状についての質問・単語はばっちり！Amazing☆</t>
  </si>
  <si>
    <t>動詞についての質問②(Did you-?)もばっちり！Amazing☆</t>
  </si>
  <si>
    <t>関連語・表現を入れて作文するのもばっちり！Amazing☆</t>
  </si>
  <si>
    <t>過去形の動詞と質問もばっちり！Amazing☆</t>
  </si>
  <si>
    <t>ifを使った質問に理由を添えて答えることができました！Amazing☆</t>
  </si>
  <si>
    <t>残念ながら、緊張してしまったのか色についての質問を聞くことができませんでした。</t>
  </si>
  <si>
    <t>まだ練習中でおもちゃの単語はわかりませんでした。</t>
  </si>
  <si>
    <t>まだ練習中でキッチン周りの道具の単語はわかりませんでした。</t>
  </si>
  <si>
    <t>まだ練習中で天気の単語はわかりませんでした。</t>
  </si>
  <si>
    <t>まだ練習中で動きを表す単語はわかりませんでした。</t>
  </si>
  <si>
    <t>まだ練習中で月日の単語はわかりませんでした。</t>
  </si>
  <si>
    <t>まだ練習中で各国の象徴的なものの単語はわかりませんでした。</t>
  </si>
  <si>
    <t>まだ練習中で趣味の単語はわかりませんでした。</t>
  </si>
  <si>
    <t>まだ練習中で比較を表す単語はわかりませんでした。</t>
  </si>
  <si>
    <t>まだ練習中で現在完了形の動詞はわかりませんでした。</t>
  </si>
  <si>
    <t>まだ練習中でifを使った質問②には答えられませんでした。</t>
  </si>
  <si>
    <t>まだ練習中で色を英語で言えませんでした。</t>
  </si>
  <si>
    <t>先生の後に続いてまねをしておもちゃの単語が言えました。</t>
  </si>
  <si>
    <t>先生の後に続いてまねをしてキッチン周りの道具の単語が言えました。</t>
  </si>
  <si>
    <t>先生の後に続いてまねをして天気の単語が言えました。</t>
  </si>
  <si>
    <t>先生の後に続いてまねをして動きを表す単語が言えました。</t>
  </si>
  <si>
    <t>先生の後に続いてまねをして月日の単語が言えました。</t>
  </si>
  <si>
    <t>先生の後に続いてまねをして各国の象徴的なものの単語が言えました。</t>
  </si>
  <si>
    <t>先生の後に続いてまねをして趣味の単語が言えました。</t>
  </si>
  <si>
    <t>先生の後に続いてまねをして比較を表す単語が言えました。</t>
  </si>
  <si>
    <t>先生の後に続いてまねをして現在完了形の動詞が言えました。</t>
  </si>
  <si>
    <t>先生の後に続いてまねをしてifを使った質問②に答えることができました。</t>
  </si>
  <si>
    <t>先生の後に続いてまねをして色が英語で言えました。</t>
  </si>
  <si>
    <t>おもちゃの単語を英語で全て言えました！</t>
  </si>
  <si>
    <t>キッチン周りの道具の単語を英語で全て言えました！</t>
  </si>
  <si>
    <t>天気の単語を英語で全て言えました！</t>
  </si>
  <si>
    <t>動きを表す単語を英語で全て言えました！</t>
  </si>
  <si>
    <t>月日の単語を英語で全て言えました！</t>
  </si>
  <si>
    <t>各国の象徴的なものの単語を英語で全て言えました！</t>
  </si>
  <si>
    <t>趣味の単語を英語で全て言えました！</t>
  </si>
  <si>
    <t>比較を表す単語を英語で全て言えました！</t>
  </si>
  <si>
    <t>現在完了形の動詞を英語で全て言えました！</t>
  </si>
  <si>
    <t>ifを使った質問②に単語だけで何とか答えることができました。</t>
  </si>
  <si>
    <t>ほとんどの色を英語で言えました！</t>
  </si>
  <si>
    <t>おもちゃの単語はばっちり！質問もあと少しでカンペキでした。</t>
  </si>
  <si>
    <t>キッチン周りの道具の単語はばっちり！質問もあと少しでカンペキでした。</t>
  </si>
  <si>
    <t>天気についての単語はばっちり！質問もあと少しでカンペキでした。</t>
  </si>
  <si>
    <t>動きを表す単語はばっちり！質問もあと少しでカンペキでした。</t>
  </si>
  <si>
    <t>月日についての単語はばっちり！質問もあと少しでカンペキでした。</t>
  </si>
  <si>
    <t>各国の象徴的なものの単語はばっちり！質問もあと少しでカンペキでした。</t>
  </si>
  <si>
    <t>動詞の単語はばっちり！質問もあと少しでカンペキでした。</t>
  </si>
  <si>
    <t>趣味ついての単語はばっちり！質問もあと少しでカンペキでした。</t>
  </si>
  <si>
    <t>比較を表す単語はばっちり！自分で作文するにはあと少しでした。</t>
  </si>
  <si>
    <t>現在完了形の動詞はばっちり！自分で作文するにはあと少しでした。</t>
  </si>
  <si>
    <t>ifを使った質問②に答えることができました。</t>
  </si>
  <si>
    <t>すべての色を英語で言えました！Brilliant☆</t>
  </si>
  <si>
    <t>おもちゃについての質問・単語はばっちり！Brilliant☆</t>
  </si>
  <si>
    <t>キッチン周りの道具についての質問(Do you need__?)・単語はばっちり！Brilliant☆</t>
  </si>
  <si>
    <t>天気についての質問・単語はばっちり！Brilliant☆</t>
  </si>
  <si>
    <t>動きを表す単語とそれを使った質問(Can you__?)もばっちり！Brilliant☆</t>
  </si>
  <si>
    <t>月日についての質問・単語はばっちり！Brilliant☆</t>
  </si>
  <si>
    <t>各国の象徴的なものの国についての質問・単語はばっちり！Brilliant☆</t>
  </si>
  <si>
    <t>動詞の入った質問・単語はばっちり！Brilliant☆</t>
  </si>
  <si>
    <t>趣味についての質問・単語はばっちり！Brilliant☆</t>
  </si>
  <si>
    <t>比較表現を入れて作文するのもばっちり！Brilliant☆</t>
  </si>
  <si>
    <t>現在完了形の動詞と質問①(Have you-?)もばっちり！Brilliant☆</t>
  </si>
  <si>
    <t>ifを使った質問②に理由を添えて答えることができました！Brilliant☆</t>
  </si>
  <si>
    <t>残念ながら、緊張してしまったのか乗り物についての質問を聞くことができませんでした。</t>
  </si>
  <si>
    <t>まだ練習中でお花を使ったHow manyの質問には答えられませんでした。</t>
  </si>
  <si>
    <t>まだ練習中で衣類の単語はわかりませんでした。</t>
  </si>
  <si>
    <t>まだ練習中で年間行事の単語はわかりませんでした。</t>
  </si>
  <si>
    <t>まだ練習中で各国の有名なものの単語はわかりませんでした。</t>
  </si>
  <si>
    <t>まだ練習中で関連語の単語はわかりませんでした。</t>
  </si>
  <si>
    <t>まだ練習中で最上級を表す単語はわかりませんでした。</t>
  </si>
  <si>
    <t>まだ練習中で付加疑問を表す質問には答えられませんでした。</t>
  </si>
  <si>
    <t>まだ練習中で乗り物を英語で言えませんでした。</t>
  </si>
  <si>
    <t>お花の単語はわかりましたが、お花を使ったHow manyの質問には答えられませんでした。</t>
  </si>
  <si>
    <t>先生の後に続いてまねをして衣類の単語が言えました。</t>
  </si>
  <si>
    <t>先生の後に続いてまねをして年間行事の単語が言えました。</t>
  </si>
  <si>
    <t>先生の後に続いてまねをして各国の有名なものの単語が言えました。</t>
  </si>
  <si>
    <t>先生の後に続いてまねをして関連語の単語が言えました。</t>
  </si>
  <si>
    <t>先生の後に続いてまねをして最上級を表す単語が言えました。</t>
  </si>
  <si>
    <t>先生の後に続いてまねをして付加疑問を表す質問に答えることができました。</t>
  </si>
  <si>
    <t>先生の後に続いてまねをして乗り物が英語で言えました。</t>
  </si>
  <si>
    <t>先生の後に続いてまねをしてお花を使ったHow manyの質問に答えることができました。</t>
  </si>
  <si>
    <t>衣類の単語を英語で全て言えました！</t>
  </si>
  <si>
    <t>年間行事の単語を英語で全て言えました！</t>
  </si>
  <si>
    <t>各国の有名なものの単語を英語で全て言えました！</t>
  </si>
  <si>
    <t>関連語の単語を英語で全て言えました！</t>
  </si>
  <si>
    <t>最上級を表す単語を英語で全て言えました！</t>
  </si>
  <si>
    <t>付加疑問を表す質問に何とか答えることができました。</t>
  </si>
  <si>
    <t>ほとんどの乗り物を英語で言えました！</t>
  </si>
  <si>
    <t>お花を使ったHow manyの質問に何とか答えることができました。</t>
  </si>
  <si>
    <t>さらに"What can you want?"に対して、単語で答えることができました。</t>
  </si>
  <si>
    <t>衣類についての単語はばっちり！質問もあと少しでカンペキでした。</t>
  </si>
  <si>
    <t>さらに"What can you do?"に対して、単語で答えることができました。</t>
  </si>
  <si>
    <t>年間行事についての単語はばっちり！質問もあと少しでカンペキでした。</t>
  </si>
  <si>
    <t>各国の有名なものの単語はばっちり！質問もあと少しでカンペキでした。</t>
  </si>
  <si>
    <t>関連語の単語はばっちり！質問もあと少しでカンペキでした。</t>
  </si>
  <si>
    <t>形容詞の単語はばっちり！質問もあと少しでカンペキでした。</t>
  </si>
  <si>
    <t>最上級を表す単語はばっちり！自分で作文するにはあと少しでした。</t>
  </si>
  <si>
    <t>付加疑問を表す質問を何とか自分で作ることできました。</t>
  </si>
  <si>
    <t>すべての乗り物を英語で言えました！Awesome☆</t>
  </si>
  <si>
    <t>お花を使ったHow manyの質問にもばっちり答えられました！Awesome☆</t>
  </si>
  <si>
    <t>さらに"What can you want?"に対して、"I want__."と文で答えることができました！Awesome☆</t>
  </si>
  <si>
    <t>衣類についての質問・単語はばっちり！Awesome☆</t>
  </si>
  <si>
    <t>さらに"What can you do?"に対して、"I can__."と文で答えることができました！Awesome☆</t>
  </si>
  <si>
    <t>年間行事についての質問・単語はばっちり！Awesome☆</t>
  </si>
  <si>
    <t>各国の有名なものの国についての質問・単語はばっちり！Awesome☆</t>
  </si>
  <si>
    <t>関連語の入った質問・単語はばっちり！Awesome☆</t>
  </si>
  <si>
    <t>形容詞の入った質問・単語はばっちり！Awesome☆</t>
  </si>
  <si>
    <t>最上級を入れて作文するのもばっちり！Awesome☆</t>
  </si>
  <si>
    <t>現在完了形の動詞と質問②(How long have you-?)もばっちり！Awesome☆</t>
  </si>
  <si>
    <t>付加疑問を表す質問を自分でカンペキに作ることができました！Awesome☆</t>
  </si>
  <si>
    <t>残念ながら、緊張してしまったのか虫についての質問を聞くことができませんでした。</t>
  </si>
  <si>
    <t>まだ練習中で野菜を使ったHow muchの質問には答えられませんでした。</t>
  </si>
  <si>
    <t>まだ練習中でジーンズなどの数え方や服のサイズはわかりませんでした。</t>
  </si>
  <si>
    <t>まだ練習中で家族と性格の単語はわかりませんでした。</t>
  </si>
  <si>
    <t>まだ練習中で食べ物の特徴についての単語はわかりませんでした。</t>
  </si>
  <si>
    <t>まだ練習中で複数形の単語はわかりませんでした。</t>
  </si>
  <si>
    <t>まだ練習中でDoesを使った質問には答えられませんでした。</t>
  </si>
  <si>
    <t>まだ練習中でその他比較表現の入った質問には答えられませんでした。</t>
  </si>
  <si>
    <t>まだ練習中で間接疑問を表す質問には答えられませんでした。</t>
  </si>
  <si>
    <t>まだ練習中で虫を英語で言えませんでした。</t>
  </si>
  <si>
    <t>野菜の単語はわかりましたが、野菜を使ったHow muchの質問には答えられませんでした。</t>
  </si>
  <si>
    <t>先生の後に続いてまねをしてジーンズなどの数え方や服のサイズが言えました。</t>
  </si>
  <si>
    <t>先生の後に続いてまねをして家族と性格の単語が言えました。</t>
  </si>
  <si>
    <t>先生の後に続いてまねをして食べ物の特徴についての単語が言えました。</t>
  </si>
  <si>
    <t>先生の後に続いてまねをして複数形の単語が言えました。</t>
  </si>
  <si>
    <t>先生の後に続いてまねをしてDoesを使った質問に答えることができました。</t>
  </si>
  <si>
    <t>先生の後に続いてまねをしてその他比較表現の入った質問に答えることができました。</t>
  </si>
  <si>
    <t>先生の後に続いてまねをして間接疑問を表す質問に答えることができました。</t>
  </si>
  <si>
    <t>先生の後に続いてまねをして虫が英語で言えました。</t>
  </si>
  <si>
    <t>先生の後に続いてまねをして野菜を使ったHow muchの質問に答えることができました。</t>
  </si>
  <si>
    <t>ジーンズなどの数え方や服のサイズを英語で全て言えました！</t>
  </si>
  <si>
    <t>家族と性格の単語を英語で全て言えました！</t>
  </si>
  <si>
    <t>食べ物の特徴についての単語を英語で全て言えました！</t>
  </si>
  <si>
    <t>複数形の単語を英語で全て言えました！</t>
  </si>
  <si>
    <t>Doesを使った質問にも何とか答えることができました！</t>
  </si>
  <si>
    <t>その他比較表現の入った質問に何とかいくつか答えることができました。</t>
  </si>
  <si>
    <t>間接疑問を表す質問に何とか答えることができました。</t>
  </si>
  <si>
    <t>ほとんどの虫を英語で言えました！</t>
  </si>
  <si>
    <t>野菜を使ったHow muchの質問に何とか答えることができました。</t>
  </si>
  <si>
    <t>さらに"What can you need?"に対して、単語で答えることができました。</t>
  </si>
  <si>
    <t>ジーンズなどの数え方や服のサイズはばっちり！質問もあと少しでカンペキでした。</t>
  </si>
  <si>
    <t>家族と性格の単語はばっちり！質問もあと少しでカンペキでした。</t>
  </si>
  <si>
    <t>食べ物の特徴についての単語はばっちり！質問もあと少しでカンペキでした。</t>
  </si>
  <si>
    <t>複数形の単語はばっちり！質問もあと少しでカンペキでした。</t>
  </si>
  <si>
    <t>Doesを使った全ての質問にYes, Noで答えることができました。</t>
  </si>
  <si>
    <t>関連語の単語はばっちり！Why?の質問もあと少しでカンペキでした。</t>
  </si>
  <si>
    <t>その他比較表現の入った質問にもいくつか答えることができました！</t>
  </si>
  <si>
    <t>間接疑問を表す質問を何とか自分で作ることできました。</t>
  </si>
  <si>
    <t>すべての虫を英語で言えました！Fantastic☆</t>
  </si>
  <si>
    <t>野菜を使ったHow muchの質問にもばっちり答えられました！Fantastic☆</t>
  </si>
  <si>
    <t>さらに"What can you need?"に対して、"I need__."と文で答えることができました！Fantastic☆</t>
  </si>
  <si>
    <t>ジーンズなどの数え方や服のサイズについての質問・単語はばっちり！Fantastic☆</t>
  </si>
  <si>
    <t>家族と性格ついての質問・単語はばっちり！Fantastic☆</t>
  </si>
  <si>
    <t>食べ物の特徴についての質問・単語はばっちり！Fantastic☆</t>
  </si>
  <si>
    <t>複数形についての質問・単語はばっちり！Fantastic☆</t>
  </si>
  <si>
    <t>Doesを使った全ての質問にばっちり文で答えられました！Fantastic☆</t>
  </si>
  <si>
    <t>関連語の単語も、Why?の質問に対する答えもばっちり！Fantastic☆</t>
  </si>
  <si>
    <t>その他比較表現の入った質問に答えたり作文したりできました！Fantastic☆</t>
  </si>
  <si>
    <t>現在完了形の動詞と質問③(How many times have you-?)もばっちり！Fantastic☆</t>
  </si>
  <si>
    <t>間接疑問を表す質問を自分でカンペキに作ることができました！Fantastic☆</t>
  </si>
  <si>
    <t>フォニックスの読み書きはまだ練習中でわかりませんでした。</t>
  </si>
  <si>
    <t>フォニックスの読み書きでは、先生の後に続いてまねをして言うことができました。</t>
  </si>
  <si>
    <t>フォニックスの読み書きでは、読みは良くできていました！</t>
  </si>
  <si>
    <t>フォニックスの読み書きでは、読みはばっちり！書きはあと少しでカンペキでした。</t>
  </si>
  <si>
    <t>フォニックスの読み書きはばっちり！Excellent☆</t>
  </si>
  <si>
    <t>大文字と小文字のアルファベットを書く問題は、まだ練習中でわかりませんでした。</t>
  </si>
  <si>
    <t>大文字小文字のアルファベットをなぞる・書く問題は、まだ練習中でわかりませんでした。</t>
  </si>
  <si>
    <t>自分の名前を英語で書く問題は、まだ練習中でわかりませんでした。</t>
  </si>
  <si>
    <t>天気や服の英単語を書く問題は、まだ練習中でわかりませんでした。</t>
  </si>
  <si>
    <t>Can you__?に対して自分の意見を書く問題は、まだ練習中でわかりませんでした。</t>
  </si>
  <si>
    <t>単複に気を付けてフルーツの英単語を書く問題は、まだ練習中でわかりませんでした。</t>
  </si>
  <si>
    <t>国の名前を英語で書く問題では、まだ練習中でわかりませんでした。</t>
  </si>
  <si>
    <t>症状をI haveで答えて書く問題では、まだ練習中でわかりませんでした。</t>
  </si>
  <si>
    <t>自分の好きなこととその理由を書く問題では、まだ練習中でわかりませんでした。</t>
  </si>
  <si>
    <t>人の年齢や身長を比較して書く問題では、まだ練習中でわかりませんでした。</t>
  </si>
  <si>
    <t>行ったことがある場所とその回数を書く問題では、まだ練習中でわかりませんでした。</t>
  </si>
  <si>
    <t>仮定法・不可疑問・間接疑問の表現が入った文の空らんをうめる問題では、まだ練習中でわかりませんでした。</t>
  </si>
  <si>
    <t>大文字と小文字のアルファベットを書く問題は、先生の後に続いてまねをして書くことができました。</t>
  </si>
  <si>
    <t>大文字小文字のアルファベットをなぞる・書く問題は、先生の後に続いてまねをして書くことができました。</t>
  </si>
  <si>
    <t>自分の名前を英語で書く問題は、先生の後に続いてまねをして書くことができました。</t>
  </si>
  <si>
    <t>天気や服の英単語を書く問題は、先生の後に続いてまねをして書くことができました。</t>
  </si>
  <si>
    <t>Can you__?に対して自分の意見を書く問題は、先生の後に続いてまねをして書くことができました。</t>
  </si>
  <si>
    <t>単複に気を付けてフルーツの英単語を書く問題は、先生の後に続いてまねをして書くことができました。</t>
  </si>
  <si>
    <t>国の名前を英語で書く問題では、先生の後に続いてまねをして書くことができました。</t>
  </si>
  <si>
    <t>症状をI haveで答えて書く問題では、先生の後に続いてまねをして書くことができました。</t>
  </si>
  <si>
    <t>自分の好きなこととその理由を書く問題では、先生の後に続いてまねをして書くことができました。</t>
  </si>
  <si>
    <t>人の年齢や身長を比較して書く問題では、先生の後に続いてまねをして書くことができました。</t>
  </si>
  <si>
    <t>行ったことがある場所とその回数を書く問題では、先生の後に続いてまねをして書くことができました。</t>
  </si>
  <si>
    <t>仮定法・不可疑問・間接疑問の表現が入った文の空らんをうめる問題では、先生の後に続いてまねをして書くことができました。</t>
  </si>
  <si>
    <t>大文字と小文字のアルファベットを書く問題は、少し書くことができました。</t>
  </si>
  <si>
    <t>大文字小文字のアルファベットをなぞる・書く問題は、きれいになぞることができました。</t>
  </si>
  <si>
    <t>自分の名前を英語で書く問題は、少し書くことができました。</t>
  </si>
  <si>
    <t>天気や服の英単語を書く問題は、少し書くことができました。</t>
  </si>
  <si>
    <t>Can you__?に対して自分の意見を書く問題は、少し書くことができました。</t>
  </si>
  <si>
    <t>単複に気を付けてフルーツの英単語を書く問題は、少し書くことができました。</t>
  </si>
  <si>
    <t>国の名前を英語で書く問題では、少し書くことができました。</t>
  </si>
  <si>
    <t>症状をI haveで答えて書く問題では、少し書くことができました。</t>
  </si>
  <si>
    <t>自分の好きなこととその理由を書く問題では、少し書くことができました。</t>
  </si>
  <si>
    <t>人の年齢や身長を比較して書く問題では、少し書くことができました。</t>
  </si>
  <si>
    <t>行ったことがある場所とその回数を書く問題では、少し書くことができました。</t>
  </si>
  <si>
    <t>仮定法・不可疑問・間接疑問の表現が入った文の空らんをうめる問題では、少し書くことができました。</t>
  </si>
  <si>
    <t>大文字と小文字のアルファベットを書く問題は、ほぼカンペキでした。おしい！</t>
  </si>
  <si>
    <t>大文字小文字のアルファベットをなぞる・書く問題は、いくつか自分で書くことができました。すごい！</t>
  </si>
  <si>
    <t>自分の名前を英語で書く問題は、ほぼカンペキでした。おしい！</t>
  </si>
  <si>
    <t>天気や服の英単語を書く問題は、ほぼカンペキでした。おしい！</t>
  </si>
  <si>
    <t>Can you__?に対して自分の意見を書く問題は、ほぼカンペキでした。おしい！</t>
  </si>
  <si>
    <t>単複に気を付けてフルーツの英単語を書く問題は、ほぼカンペキでした。おしい！</t>
  </si>
  <si>
    <t>国の名前を英語で書く問題では、ほぼカンペキでした。おしい！</t>
  </si>
  <si>
    <t>症状をI haveで答えて書く問題では、ほぼカンペキでした。おしい！</t>
  </si>
  <si>
    <t>自分の好きなこととその理由を書く問題では、ほぼカンペキでした。おしい！</t>
  </si>
  <si>
    <t>人の年齢や身長を比較して書く問題では、ほぼカンペキでした。おしい！</t>
  </si>
  <si>
    <t>行ったことがある場所とその回数を書く問題では、ほぼカンペキでした。おしい！</t>
  </si>
  <si>
    <t>仮定法・不可疑問・間接疑問の表現が入った文の空らんをうめる問題では、ほぼカンペキでした。おしい！</t>
  </si>
  <si>
    <t>大文字と小文字のアルファベットを書く問題は、カンペキでした。Superb☆</t>
  </si>
  <si>
    <t>大文字小文字のアルファベットをなぞる・書く問題は、自分でアルファベットをたくさん書くことができました。Superb☆</t>
  </si>
  <si>
    <t>自分の名前を英語で書く問題は、カンペキでした。Superb☆</t>
  </si>
  <si>
    <t>天気や服の英単語を書く問題は、カンペキでした。Superb☆</t>
  </si>
  <si>
    <t>Can you__?に対して自分の意見を書く問題は、カンペキでした。Superb☆</t>
  </si>
  <si>
    <t>単複に気を付けてフルーツの英単語を書く問題は、カンペキでした。Superb☆</t>
  </si>
  <si>
    <t>国の名前を英語で書く問題では、カンペキでした。Superb☆</t>
  </si>
  <si>
    <t>症状をI haveで答えて書く問題では、カンペキでした。Superb☆</t>
  </si>
  <si>
    <t>自分の好きなこととその理由を書く問題では、カンペキでした。Superb☆</t>
  </si>
  <si>
    <t>人の年齢や身長を比較して書く問題では、カンペキでした。Superb☆</t>
  </si>
  <si>
    <t>行ったことがある場所とその回数を書く問題では、カンペキでした。Superb☆</t>
  </si>
  <si>
    <t>仮定法・不可疑問・間接疑問の表現が入った文の空らんをうめる問題では、カンペキでした。Superb☆</t>
  </si>
  <si>
    <t>cat A30.1</t>
  </si>
  <si>
    <t>cat A30.2</t>
  </si>
  <si>
    <t>cat A30.3</t>
  </si>
  <si>
    <t>cat A30.4</t>
  </si>
  <si>
    <t>cat A30.5</t>
  </si>
  <si>
    <t>cat A30.6</t>
  </si>
  <si>
    <t>cat A30.7</t>
  </si>
  <si>
    <t>cat A30.8</t>
  </si>
  <si>
    <t>cat A29.1</t>
  </si>
  <si>
    <t>cat A29.2</t>
  </si>
  <si>
    <t>cat A29.3</t>
  </si>
  <si>
    <t>cat A29.4</t>
  </si>
  <si>
    <t>cat A29.5</t>
  </si>
  <si>
    <t>cat A29.6</t>
  </si>
  <si>
    <t>cat A29.7</t>
  </si>
  <si>
    <t>cat A29.8</t>
  </si>
  <si>
    <t>cat A28.1</t>
  </si>
  <si>
    <t>cat A28.2</t>
  </si>
  <si>
    <t>cat A28.3</t>
  </si>
  <si>
    <t>cat A28.4</t>
  </si>
  <si>
    <t>cat A28.5</t>
  </si>
  <si>
    <t>cat A28.6</t>
  </si>
  <si>
    <t>cat A28.7</t>
  </si>
  <si>
    <t>cat A28.8</t>
  </si>
  <si>
    <t>cat A27.1</t>
  </si>
  <si>
    <t>cat A27.2</t>
  </si>
  <si>
    <t>cat A27.3</t>
  </si>
  <si>
    <t>cat A27.4</t>
  </si>
  <si>
    <t>cat A27.5</t>
  </si>
  <si>
    <t>cat A27.6</t>
  </si>
  <si>
    <t>cat A27.7</t>
  </si>
  <si>
    <t>cat A27.8</t>
  </si>
  <si>
    <t>cat A26.1</t>
  </si>
  <si>
    <t>cat A26.2</t>
  </si>
  <si>
    <t>cat A26.3</t>
  </si>
  <si>
    <t>cat A26.4</t>
  </si>
  <si>
    <t>cat A26.5</t>
  </si>
  <si>
    <t>cat A26.6</t>
  </si>
  <si>
    <t>cat A26.7</t>
  </si>
  <si>
    <t>cat A26.8</t>
  </si>
  <si>
    <t>cat A25.1</t>
  </si>
  <si>
    <t>cat A25.2</t>
  </si>
  <si>
    <t>cat A25.3</t>
  </si>
  <si>
    <t>cat A25.4</t>
  </si>
  <si>
    <t>cat A25.5</t>
  </si>
  <si>
    <t>cat A25.6</t>
  </si>
  <si>
    <t>cat A25.7</t>
  </si>
  <si>
    <t>cat A25.8</t>
  </si>
  <si>
    <t>あいさつ [Hello]</t>
  </si>
  <si>
    <t>自分の名前 [Name]</t>
  </si>
  <si>
    <t>フォニックスの歌 [Phonics Song]</t>
  </si>
  <si>
    <t>色 [Colors]</t>
  </si>
  <si>
    <t>乗り物 [Vehicles]</t>
  </si>
  <si>
    <t>虫 [Insects]</t>
  </si>
  <si>
    <t>フォニックス [phonics]</t>
  </si>
  <si>
    <t>ライティング [writing]</t>
  </si>
  <si>
    <t>あいさつ [Greetings]（名前 / 年れい / 感情表現 ）</t>
  </si>
  <si>
    <t>花 [Flowers]</t>
  </si>
  <si>
    <t>野菜 [Vegetables]</t>
  </si>
  <si>
    <t>おもちゃ [toys]</t>
  </si>
  <si>
    <t>Question [How many]</t>
  </si>
  <si>
    <t>Question [How much]</t>
  </si>
  <si>
    <t>食べ物 1[Food]</t>
  </si>
  <si>
    <t>持ち物1[Belongings]</t>
  </si>
  <si>
    <t>キッチン周りの道具[Kitchen Utencils]</t>
  </si>
  <si>
    <t>食べ物2[Food]</t>
  </si>
  <si>
    <t>持ち物2[Belongings]</t>
  </si>
  <si>
    <t>曜日 [The Days of The Week]</t>
  </si>
  <si>
    <t>反対言葉 [Opposite]</t>
  </si>
  <si>
    <t>天気 [Weather]</t>
  </si>
  <si>
    <t>衣類１ [Clothes 1]</t>
  </si>
  <si>
    <t>衣類２ [Clothes 2]</t>
  </si>
  <si>
    <t>声の大きさ [Voice]</t>
  </si>
  <si>
    <t>すらすら言える [Fluency]</t>
  </si>
  <si>
    <t>発音 [Pronunciation]</t>
  </si>
  <si>
    <t>暗記 [Memorization]</t>
  </si>
  <si>
    <t>内容 [Content]</t>
  </si>
  <si>
    <t>ジェスチャー [Gesture]</t>
  </si>
  <si>
    <t>顔の表情や目線 [Facial Expressions, Eyes]</t>
  </si>
  <si>
    <t>態度 [Atittude]</t>
  </si>
  <si>
    <t>あいさつ [Greetings]（名前 / 年れい / 感情表現 / 天気）</t>
  </si>
  <si>
    <t>楽器 [Musical Instruments]</t>
  </si>
  <si>
    <t>スポーツ [Sports]</t>
  </si>
  <si>
    <t>動詞1 [Verbs]</t>
  </si>
  <si>
    <t>動詞2 [Verbs]</t>
  </si>
  <si>
    <t>家族・性格 [Family/Personality]</t>
  </si>
  <si>
    <t>体のパーツ [Body Parts]</t>
  </si>
  <si>
    <t>季節 [Seasons]</t>
  </si>
  <si>
    <t>月日 [Months,Date]</t>
  </si>
  <si>
    <t>年間行事 [Yearly Event]</t>
  </si>
  <si>
    <t>食べ物の特徴 [Adjective for food]</t>
  </si>
  <si>
    <t>あいさつ [Greetings]（名前 / 年れい / 感情表現 / 天気 ）</t>
  </si>
  <si>
    <t>国1 [Countries 1]</t>
  </si>
  <si>
    <t>国2 [Coutries 2]</t>
  </si>
  <si>
    <t>ランドマーク [Land mark]</t>
  </si>
  <si>
    <t>シンボル [Symbols]</t>
  </si>
  <si>
    <t>複数形 [Plural forms]</t>
  </si>
  <si>
    <t>あいさつ [Greetings]（名前 / 年れい / 感情表現 /誕生日）</t>
  </si>
  <si>
    <t>症状[Symptons]</t>
  </si>
  <si>
    <t>動詞[Verbs]</t>
  </si>
  <si>
    <t>関連語[Related Words]</t>
  </si>
  <si>
    <t>質問[Does Questions]</t>
  </si>
  <si>
    <t>あいさつ [Greetings]（名前 / 年れい / 感情表現 / 天気 / 誕生日）</t>
  </si>
  <si>
    <t>動詞・質問①[Do you like to-?]</t>
  </si>
  <si>
    <t>動詞・質問②[Did you-?]</t>
  </si>
  <si>
    <t>趣味[Hobby]</t>
  </si>
  <si>
    <t>形容詞[Adjective]</t>
  </si>
  <si>
    <t>関連語・Why?[Related words/Why?]</t>
  </si>
  <si>
    <t>あいさつ [Greetings]（名前 / 年れい / 感情表現 /誕生日/天気/日曜日にすること）</t>
  </si>
  <si>
    <t>形容詞[adjective]</t>
  </si>
  <si>
    <t>関連語・表現[Related Words&amp;Expressions]</t>
  </si>
  <si>
    <t>比較を表す単語[~er / more~]</t>
  </si>
  <si>
    <t>最上級（3つ以上を比べる）を表す単語[~est / most~]</t>
  </si>
  <si>
    <t>その他比較表現の入った質問[like better/as~as]</t>
  </si>
  <si>
    <t>現在形の動詞 [Present tense verb/ Do you like to-?]</t>
  </si>
  <si>
    <t>過去形の動詞 [Past tense verb/ Did you-?]</t>
  </si>
  <si>
    <t>現在完了形① [Present perfect tense/ Have you-?]</t>
  </si>
  <si>
    <t>現在完了形② [Present perfect tense/ How long have you-?]</t>
  </si>
  <si>
    <t>現在完了形③ [Present perfect tense/ How many time have you-?]</t>
  </si>
  <si>
    <t>Lv.3 単語[Lv.3 Vocabulary]</t>
  </si>
  <si>
    <t>Question 1 [if]</t>
  </si>
  <si>
    <t>Question 2 [if]</t>
  </si>
  <si>
    <t>付加疑問文[Tag question]</t>
  </si>
  <si>
    <t>間接疑問文[Indirect question]</t>
  </si>
  <si>
    <t>cat A1.1</t>
  </si>
  <si>
    <t>cat A1.2</t>
  </si>
  <si>
    <t>cat A1.3</t>
  </si>
  <si>
    <t>cat A1.4</t>
  </si>
  <si>
    <t>cat A1.5</t>
  </si>
  <si>
    <t>cat A1.6</t>
  </si>
  <si>
    <t>cat A1.7</t>
  </si>
  <si>
    <t>cat A1.8</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</si>
</sst>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theme="1"/>
      <name val="游ゴシック"/>
    </font>
    <font>
      <sz val="10.0"/>
      <color theme="1"/>
      <name val="Arial"/>
    </font>
    <font>
      <sz val="20.0"/>
      <color theme="0"/>
      <name val="UD デジタル 教科書体 NK-B"/>
    </font>
    <font/>
    <font>
      <sz val="14.0"/>
      <color theme="0"/>
      <name val="UD デジタル 教科書体 NK-B"/>
    </font>
    <font>
      <sz val="18.0"/>
      <color theme="0"/>
      <name val="UD デジタル 教科書体 NK-B"/>
    </font>
    <font>
      <sz val="28.0"/>
      <color rgb="FFFFD03B"/>
      <name val="AR DELANEY"/>
    </font>
    <font>
      <sz val="11.0"/>
      <color theme="1"/>
      <name val="UD デジタル 教科書体 N-B"/>
    </font>
    <font>
      <sz val="28.0"/>
      <color theme="1"/>
      <name val="Yu Gothic"/>
    </font>
    <font>
      <sz val="14.0"/>
      <color theme="1"/>
      <name val="UD デジタル 教科書体 NK-R"/>
    </font>
    <font>
      <color theme="1"/>
      <name val="Calibri"/>
      <scheme val="minor"/>
    </font>
    <font>
      <sz val="11.0"/>
      <color theme="1"/>
      <name val="ＭＳ ゴシック"/>
    </font>
    <font>
      <sz val="11.0"/>
      <color theme="1"/>
      <name val="Calibri"/>
    </font>
    <font>
      <sz val="10.0"/>
      <color rgb="FF000000"/>
      <name val="Arial"/>
    </font>
    <font>
      <sz val="9.0"/>
      <color theme="1"/>
      <name val="游ゴシック"/>
    </font>
  </fonts>
  <fills count="10">
    <fill>
      <patternFill patternType="none"/>
    </fill>
    <fill>
      <patternFill patternType="lightGray"/>
    </fill>
    <fill>
      <patternFill patternType="solid">
        <fgColor theme="6"/>
        <bgColor theme="6"/>
      </patternFill>
    </fill>
    <fill>
      <patternFill patternType="solid">
        <fgColor rgb="FFFFFFFF"/>
        <bgColor rgb="FFFFFFFF"/>
      </patternFill>
    </fill>
    <fill>
      <patternFill patternType="solid">
        <fgColor theme="1"/>
        <bgColor theme="1"/>
      </patternFill>
    </fill>
    <fill>
      <patternFill patternType="solid">
        <fgColor theme="0"/>
        <bgColor theme="0"/>
      </patternFill>
    </fill>
    <fill>
      <patternFill patternType="solid">
        <fgColor rgb="FFFF66CC"/>
        <bgColor rgb="FFFF66CC"/>
      </patternFill>
    </fill>
    <fill>
      <patternFill patternType="solid">
        <fgColor rgb="FFDEEAF6"/>
        <bgColor rgb="FFDEEAF6"/>
      </patternFill>
    </fill>
    <fill>
      <patternFill patternType="solid">
        <fgColor theme="7"/>
        <bgColor theme="7"/>
      </patternFill>
    </fill>
    <fill>
      <patternFill patternType="solid">
        <fgColor rgb="FF7F7F7F"/>
        <bgColor rgb="FF7F7F7F"/>
      </patternFill>
    </fill>
  </fills>
  <borders count="63">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border>
    <border>
      <right style="medium">
        <color rgb="FF000000"/>
      </right>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left/>
      <right/>
      <top/>
      <bottom/>
    </border>
    <border>
      <left style="thick">
        <color rgb="FFFF66CC"/>
      </left>
      <right/>
      <top style="thick">
        <color rgb="FFFF66CC"/>
      </top>
      <bottom/>
    </border>
    <border>
      <left/>
      <right/>
      <top style="thick">
        <color rgb="FFFF66CC"/>
      </top>
      <bottom style="thick">
        <color rgb="FFFF66CC"/>
      </bottom>
    </border>
    <border>
      <left/>
      <right/>
      <top style="thick">
        <color rgb="FFFF66CC"/>
      </top>
      <bottom/>
    </border>
    <border>
      <left/>
      <right style="thick">
        <color rgb="FFFF66CC"/>
      </right>
      <top style="thick">
        <color rgb="FFFF66CC"/>
      </top>
      <bottom/>
    </border>
    <border>
      <left style="thick">
        <color rgb="FFFF66CC"/>
      </left>
      <right style="thick">
        <color rgb="FFFF66CC"/>
      </right>
      <top/>
      <bottom/>
    </border>
    <border>
      <left/>
      <top style="thick">
        <color rgb="FFFF66CC"/>
      </top>
    </border>
    <border>
      <top style="thick">
        <color rgb="FFFF66CC"/>
      </top>
    </border>
    <border>
      <right/>
      <top style="thick">
        <color rgb="FFFF66CC"/>
      </top>
    </border>
    <border>
      <right style="thick">
        <color rgb="FFFF66CC"/>
      </right>
      <top style="thick">
        <color rgb="FFFF66CC"/>
      </top>
    </border>
    <border>
      <left/>
      <right style="thick">
        <color rgb="FFFF66CC"/>
      </right>
      <top/>
      <bottom/>
    </border>
    <border>
      <left style="thick">
        <color rgb="FFFF66CC"/>
      </left>
      <top style="medium">
        <color rgb="FFFF66CC"/>
      </top>
    </border>
    <border>
      <top style="medium">
        <color rgb="FFFF66CC"/>
      </top>
    </border>
    <border>
      <right/>
      <top style="medium">
        <color rgb="FFFF66CC"/>
      </top>
    </border>
    <border>
      <left/>
      <top style="medium">
        <color rgb="FFFF66CC"/>
      </top>
    </border>
    <border>
      <left/>
      <right/>
      <top style="medium">
        <color rgb="FFFF66CC"/>
      </top>
      <bottom/>
    </border>
    <border>
      <right style="thick">
        <color rgb="FFFF66CC"/>
      </right>
      <top style="medium">
        <color rgb="FFFF66CC"/>
      </top>
    </border>
    <border>
      <left/>
      <bottom/>
    </border>
    <border>
      <bottom/>
    </border>
    <border>
      <right/>
      <bottom/>
    </border>
    <border>
      <right style="thick">
        <color rgb="FFFF66CC"/>
      </right>
      <bottom/>
    </border>
    <border>
      <left style="thick">
        <color rgb="FFFF66CC"/>
      </left>
      <bottom/>
    </border>
    <border>
      <right style="thick">
        <color rgb="FFFF66CC"/>
      </right>
    </border>
    <border>
      <left/>
      <top/>
    </border>
    <border>
      <top/>
    </border>
    <border>
      <right style="thin">
        <color rgb="FFFF66CC"/>
      </right>
      <top/>
    </border>
    <border>
      <right style="thick">
        <color rgb="FFFF66CC"/>
      </right>
      <top/>
    </border>
    <border>
      <right style="thin">
        <color rgb="FFFF66CC"/>
      </right>
      <bottom/>
    </border>
    <border>
      <left/>
      <right/>
      <top/>
    </border>
    <border>
      <left/>
      <right style="thin">
        <color rgb="FFFF66CC"/>
      </right>
      <top/>
    </border>
    <border>
      <left/>
      <right style="thick">
        <color rgb="FFFF66CC"/>
      </right>
      <top/>
    </border>
    <border>
      <left/>
      <right/>
    </border>
    <border>
      <left/>
      <right style="thin">
        <color rgb="FFFF66CC"/>
      </right>
    </border>
    <border>
      <left/>
      <right style="thick">
        <color rgb="FFFF66CC"/>
      </right>
    </border>
    <border>
      <left/>
      <right/>
      <bottom style="thin">
        <color rgb="FFFF66CC"/>
      </bottom>
    </border>
    <border>
      <left/>
      <right style="thin">
        <color rgb="FFFF66CC"/>
      </right>
      <bottom style="thin">
        <color rgb="FFFF66CC"/>
      </bottom>
    </border>
    <border>
      <left/>
      <right style="thick">
        <color rgb="FFFF66CC"/>
      </right>
      <bottom style="thin">
        <color rgb="FFFF66CC"/>
      </bottom>
    </border>
    <border>
      <left/>
      <top style="thin">
        <color rgb="FFFF66CC"/>
      </top>
    </border>
    <border>
      <top style="thin">
        <color rgb="FFFF66CC"/>
      </top>
    </border>
    <border>
      <right style="thin">
        <color rgb="FFFF66CC"/>
      </right>
      <top style="thin">
        <color rgb="FFFF66CC"/>
      </top>
    </border>
    <border>
      <right style="thick">
        <color rgb="FFFF66CC"/>
      </right>
      <top style="thin">
        <color rgb="FFFF66CC"/>
      </top>
    </border>
    <border>
      <bottom style="thick">
        <color rgb="FFFF66CC"/>
      </bottom>
    </border>
    <border>
      <right style="thick">
        <color rgb="FFFF66CC"/>
      </right>
      <bottom style="thick">
        <color rgb="FFFF66CC"/>
      </bottom>
    </border>
    <border>
      <left style="thick">
        <color rgb="FFFF66CC"/>
      </left>
      <right/>
      <top/>
      <bottom/>
    </border>
    <border>
      <left style="medium">
        <color rgb="FFFF66CC"/>
      </left>
      <right/>
      <top/>
      <bottom/>
    </border>
    <border>
      <left style="medium">
        <color rgb="FFFF66CC"/>
      </left>
      <top/>
    </border>
    <border>
      <left style="medium">
        <color rgb="FFFF66CC"/>
      </left>
    </border>
    <border>
      <left style="thick">
        <color rgb="FFFF66CC"/>
      </left>
      <right/>
      <top/>
    </border>
    <border>
      <left style="thick">
        <color rgb="FFFF66CC"/>
      </left>
      <right/>
    </border>
    <border>
      <left style="medium">
        <color rgb="FFFF66CC"/>
      </left>
      <bottom style="thick">
        <color rgb="FFFF66CC"/>
      </bottom>
    </border>
    <border>
      <left style="thick">
        <color rgb="FFFF66CC"/>
      </left>
      <right/>
      <bottom style="thick">
        <color rgb="FFFF66CC"/>
      </bottom>
    </border>
    <border>
      <left/>
      <right/>
      <bottom style="thick">
        <color rgb="FFFF66CC"/>
      </bottom>
    </border>
    <border>
      <left/>
      <right style="thin">
        <color rgb="FFFF66CC"/>
      </right>
      <bottom style="thick">
        <color rgb="FFFF66CC"/>
      </bottom>
    </border>
    <border>
      <left/>
      <right style="thick">
        <color rgb="FFFF66CC"/>
      </right>
      <bottom style="thick">
        <color rgb="FFFF66CC"/>
      </bottom>
    </border>
    <border>
      <left style="thick">
        <color rgb="FFFF66CC"/>
      </left>
      <right/>
      <top/>
      <bottom style="thick">
        <color rgb="FFFF66CC"/>
      </bottom>
    </border>
    <border>
      <left/>
      <right/>
      <top/>
      <bottom style="thick">
        <color rgb="FFFF66CC"/>
      </bottom>
    </border>
    <border>
      <left/>
      <right style="thick">
        <color rgb="FFFF66CC"/>
      </right>
      <top/>
      <bottom style="thick">
        <color rgb="FFFF66CC"/>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Border="1" applyFill="1" applyFont="1"/>
    <xf borderId="1" fillId="0" fontId="1" numFmtId="0" xfId="0" applyBorder="1" applyFont="1"/>
    <xf borderId="2" fillId="3" fontId="2" numFmtId="0" xfId="0" applyAlignment="1" applyBorder="1" applyFill="1" applyFont="1">
      <alignment readingOrder="0" shrinkToFit="0" wrapText="1"/>
    </xf>
    <xf borderId="3" fillId="0" fontId="2" numFmtId="0" xfId="0" applyAlignment="1" applyBorder="1" applyFont="1">
      <alignment shrinkToFit="0" wrapText="1"/>
    </xf>
    <xf borderId="4" fillId="0" fontId="2" numFmtId="0" xfId="0" applyAlignment="1" applyBorder="1" applyFont="1">
      <alignment horizontal="right" shrinkToFit="0" wrapText="1"/>
    </xf>
    <xf borderId="4" fillId="0" fontId="2" numFmtId="0" xfId="0" applyAlignment="1" applyBorder="1" applyFont="1">
      <alignment horizontal="right" readingOrder="0" shrinkToFit="0" wrapText="1"/>
    </xf>
    <xf borderId="5" fillId="0" fontId="2" numFmtId="0" xfId="0" applyAlignment="1" applyBorder="1" applyFont="1">
      <alignment horizontal="right" shrinkToFit="0" wrapText="1"/>
    </xf>
    <xf borderId="6" fillId="4" fontId="1" numFmtId="0" xfId="0" applyBorder="1" applyFill="1" applyFont="1"/>
    <xf borderId="1" fillId="0" fontId="1" numFmtId="0" xfId="0" applyAlignment="1" applyBorder="1" applyFont="1">
      <alignment readingOrder="0"/>
    </xf>
    <xf borderId="7" fillId="5" fontId="1" numFmtId="0" xfId="0" applyBorder="1" applyFill="1" applyFont="1"/>
    <xf borderId="8" fillId="5" fontId="1" numFmtId="0" xfId="0" applyBorder="1" applyFont="1"/>
    <xf borderId="9" fillId="5" fontId="1" numFmtId="0" xfId="0" applyBorder="1" applyFont="1"/>
    <xf borderId="10" fillId="5" fontId="1" numFmtId="0" xfId="0" applyBorder="1" applyFont="1"/>
    <xf borderId="11" fillId="5" fontId="1" numFmtId="0" xfId="0" applyBorder="1" applyFont="1"/>
    <xf borderId="12" fillId="6" fontId="3" numFmtId="0" xfId="0" applyAlignment="1" applyBorder="1" applyFill="1" applyFont="1">
      <alignment horizontal="left" vertical="center"/>
    </xf>
    <xf borderId="13" fillId="0" fontId="4" numFmtId="0" xfId="0" applyBorder="1" applyFont="1"/>
    <xf borderId="14" fillId="0" fontId="4" numFmtId="0" xfId="0" applyBorder="1" applyFont="1"/>
    <xf borderId="12" fillId="6" fontId="5" numFmtId="0" xfId="0" applyAlignment="1" applyBorder="1" applyFont="1">
      <alignment horizontal="center" shrinkToFit="0" vertical="center" wrapText="1"/>
    </xf>
    <xf borderId="15" fillId="0" fontId="4" numFmtId="0" xfId="0" applyBorder="1" applyFont="1"/>
    <xf borderId="16" fillId="5" fontId="1" numFmtId="0" xfId="0" applyBorder="1" applyFont="1"/>
    <xf borderId="17" fillId="6" fontId="3" numFmtId="0" xfId="0" applyAlignment="1" applyBorder="1" applyFont="1">
      <alignment horizontal="left" vertical="center"/>
    </xf>
    <xf borderId="18" fillId="0" fontId="4" numFmtId="0" xfId="0" applyBorder="1" applyFont="1"/>
    <xf borderId="19" fillId="0" fontId="4" numFmtId="0" xfId="0" applyBorder="1" applyFont="1"/>
    <xf borderId="20" fillId="6" fontId="3" numFmtId="0" xfId="0" applyAlignment="1" applyBorder="1" applyFont="1">
      <alignment horizontal="right" vertical="center"/>
    </xf>
    <xf borderId="21" fillId="6" fontId="6" numFmtId="0" xfId="0" applyAlignment="1" applyBorder="1" applyFont="1">
      <alignment vertical="center"/>
    </xf>
    <xf borderId="20" fillId="6" fontId="7" numFmtId="0" xfId="0" applyAlignment="1" applyBorder="1" applyFont="1">
      <alignment horizontal="center" vertical="center"/>
    </xf>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6" fillId="6" fontId="6" numFmtId="0" xfId="0" applyAlignment="1" applyBorder="1" applyFont="1">
      <alignment vertical="center"/>
    </xf>
    <xf borderId="0" fillId="0" fontId="1" numFmtId="0" xfId="0" applyAlignment="1" applyFont="1">
      <alignment horizontal="center"/>
    </xf>
    <xf borderId="28" fillId="0" fontId="4" numFmtId="0" xfId="0" applyBorder="1" applyFont="1"/>
    <xf borderId="29" fillId="5" fontId="8" numFmtId="0" xfId="0" applyAlignment="1" applyBorder="1" applyFont="1">
      <alignment horizontal="center" shrinkToFit="0" vertical="center" wrapText="1"/>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5" fontId="9" numFmtId="0" xfId="0" applyAlignment="1" applyBorder="1" applyFont="1">
      <alignment horizontal="center" vertical="center"/>
    </xf>
    <xf borderId="35" fillId="5" fontId="9" numFmtId="0" xfId="0" applyAlignment="1" applyBorder="1" applyFont="1">
      <alignment horizontal="center" vertical="center"/>
    </xf>
    <xf borderId="36" fillId="5" fontId="9" numFmtId="0" xfId="0" applyAlignment="1" applyBorder="1" applyFont="1">
      <alignment horizontal="center" vertical="center"/>
    </xf>
    <xf borderId="37" fillId="0" fontId="4" numFmtId="0" xfId="0" applyBorder="1" applyFont="1"/>
    <xf borderId="38" fillId="0" fontId="4" numFmtId="0" xfId="0" applyBorder="1" applyFont="1"/>
    <xf borderId="39" fillId="0" fontId="4" numFmtId="0" xfId="0" applyBorder="1" applyFont="1"/>
    <xf borderId="40" fillId="0" fontId="4" numFmtId="0" xfId="0" applyBorder="1" applyFont="1"/>
    <xf borderId="41" fillId="0" fontId="4" numFmtId="0" xfId="0" applyBorder="1" applyFont="1"/>
    <xf borderId="42" fillId="0" fontId="4" numFmtId="0" xfId="0" applyBorder="1" applyFont="1"/>
    <xf borderId="43" fillId="5" fontId="8" numFmtId="0" xfId="0" applyAlignment="1" applyBorder="1" applyFont="1">
      <alignment horizontal="center" shrinkToFit="0" vertical="center" wrapText="1"/>
    </xf>
    <xf borderId="44" fillId="0" fontId="4" numFmtId="0" xfId="0" applyBorder="1" applyFont="1"/>
    <xf borderId="45" fillId="0" fontId="4" numFmtId="0" xfId="0" applyBorder="1" applyFont="1"/>
    <xf borderId="46" fillId="0" fontId="4" numFmtId="0" xfId="0" applyBorder="1" applyFont="1"/>
    <xf borderId="47" fillId="0" fontId="4" numFmtId="0" xfId="0" applyBorder="1" applyFont="1"/>
    <xf borderId="48" fillId="0" fontId="4" numFmtId="0" xfId="0" applyBorder="1" applyFont="1"/>
    <xf borderId="49" fillId="5" fontId="1" numFmtId="0" xfId="0" applyBorder="1" applyFont="1"/>
    <xf borderId="50" fillId="7" fontId="1" numFmtId="0" xfId="0" applyBorder="1" applyFill="1" applyFont="1"/>
    <xf borderId="6" fillId="7" fontId="1" numFmtId="0" xfId="0" applyBorder="1" applyFont="1"/>
    <xf borderId="16" fillId="7" fontId="1" numFmtId="0" xfId="0" applyBorder="1" applyFont="1"/>
    <xf borderId="51" fillId="7" fontId="10" numFmtId="0" xfId="0" applyAlignment="1" applyBorder="1" applyFont="1">
      <alignment horizontal="center" shrinkToFit="0" vertical="center" wrapText="1"/>
    </xf>
    <xf borderId="52" fillId="0" fontId="4" numFmtId="0" xfId="0" applyBorder="1" applyFont="1"/>
    <xf borderId="53" fillId="5" fontId="9" numFmtId="0" xfId="0" applyAlignment="1" applyBorder="1" applyFont="1">
      <alignment horizontal="center" vertical="center"/>
    </xf>
    <xf borderId="54" fillId="0" fontId="4" numFmtId="0" xfId="0" applyBorder="1" applyFont="1"/>
    <xf borderId="55" fillId="0" fontId="4" numFmtId="0" xfId="0" applyBorder="1" applyFont="1"/>
    <xf borderId="56" fillId="0" fontId="4" numFmtId="0" xfId="0" applyBorder="1" applyFont="1"/>
    <xf borderId="57" fillId="0" fontId="4" numFmtId="0" xfId="0" applyBorder="1" applyFont="1"/>
    <xf borderId="58" fillId="0" fontId="4" numFmtId="0" xfId="0" applyBorder="1" applyFont="1"/>
    <xf borderId="59" fillId="0" fontId="4" numFmtId="0" xfId="0" applyBorder="1" applyFont="1"/>
    <xf borderId="60" fillId="5" fontId="1" numFmtId="0" xfId="0" applyBorder="1" applyFont="1"/>
    <xf borderId="61" fillId="5" fontId="1" numFmtId="0" xfId="0" applyBorder="1" applyFont="1"/>
    <xf borderId="62" fillId="5" fontId="1" numFmtId="0" xfId="0" applyBorder="1" applyFont="1"/>
    <xf borderId="0" fillId="0" fontId="11" numFmtId="0" xfId="0" applyFont="1"/>
    <xf borderId="0" fillId="0" fontId="1" numFmtId="0" xfId="0" applyAlignment="1" applyFont="1">
      <alignment horizontal="center" vertical="center"/>
    </xf>
    <xf borderId="0" fillId="0" fontId="12" numFmtId="0" xfId="0" applyFont="1"/>
    <xf borderId="0" fillId="0" fontId="1" numFmtId="0" xfId="0" applyFont="1"/>
    <xf borderId="6" fillId="8" fontId="1" numFmtId="0" xfId="0" applyBorder="1" applyFill="1" applyFont="1"/>
    <xf borderId="6" fillId="8" fontId="13" numFmtId="0" xfId="0" applyBorder="1" applyFont="1"/>
    <xf borderId="6" fillId="9" fontId="1" numFmtId="0" xfId="0" applyBorder="1" applyFill="1" applyFont="1"/>
    <xf borderId="6" fillId="9" fontId="13" numFmtId="0" xfId="0" applyBorder="1" applyFont="1"/>
    <xf borderId="0" fillId="0" fontId="14" numFmtId="0" xfId="0" applyFont="1"/>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4806240034191967"/>
          <c:y val="0.10467452279263399"/>
          <c:w val="0.6775938498293141"/>
          <c:h val="0.8530023897272356"/>
        </c:manualLayout>
      </c:layout>
      <c:radarChart>
        <c:radarStyle val="marker"/>
        <c:ser>
          <c:idx val="0"/>
          <c:order val="0"/>
          <c:spPr>
            <a:ln cmpd="sng">
              <a:solidFill>
                <a:srgbClr val="4472C4"/>
              </a:solidFill>
            </a:ln>
          </c:spPr>
          <c:marker>
            <c:symbol val="none"/>
          </c:marker>
          <c:cat>
            <c:strRef>
              <c:f>score!$K$1:$O$1</c:f>
            </c:strRef>
          </c:cat>
          <c:val>
            <c:numRef>
              <c:f>score!$K$2:$O$2</c:f>
              <c:numCache/>
            </c:numRef>
          </c:val>
          <c:smooth val="1"/>
        </c:ser>
        <c:axId val="1775955766"/>
        <c:axId val="970369599"/>
      </c:radarChart>
      <c:catAx>
        <c:axId val="17759557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0369599"/>
      </c:catAx>
      <c:valAx>
        <c:axId val="9703695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5955766"/>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3</xdr:row>
      <xdr:rowOff>9525</xdr:rowOff>
    </xdr:from>
    <xdr:ext cx="4695825" cy="3619500"/>
    <xdr:graphicFrame>
      <xdr:nvGraphicFramePr>
        <xdr:cNvPr id="121067873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238125</xdr:colOff>
      <xdr:row>17</xdr:row>
      <xdr:rowOff>76200</xdr:rowOff>
    </xdr:from>
    <xdr:ext cx="3219450" cy="561975"/>
    <xdr:sp>
      <xdr:nvSpPr>
        <xdr:cNvPr id="3" name="Shape 3"/>
        <xdr:cNvSpPr/>
      </xdr:nvSpPr>
      <xdr:spPr>
        <a:xfrm>
          <a:off x="3741038" y="3503775"/>
          <a:ext cx="3209925" cy="552450"/>
        </a:xfrm>
        <a:prstGeom prst="ribbon2">
          <a:avLst>
            <a:gd fmla="val 16667" name="adj1"/>
            <a:gd fmla="val 50000" name="adj2"/>
          </a:avLst>
        </a:prstGeom>
        <a:solidFill>
          <a:schemeClr val="accent5"/>
        </a:solidFill>
        <a:ln cap="flat" cmpd="sng" w="12700">
          <a:solidFill>
            <a:srgbClr val="264159"/>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Arial"/>
              <a:ea typeface="Arial"/>
              <a:cs typeface="Arial"/>
              <a:sym typeface="Arial"/>
            </a:rPr>
            <a:t>message</a:t>
          </a:r>
          <a:endParaRPr sz="1400"/>
        </a:p>
      </xdr:txBody>
    </xdr:sp>
    <xdr:clientData fLocksWithSheet="0"/>
  </xdr:oneCellAnchor>
  <xdr:oneCellAnchor>
    <xdr:from>
      <xdr:col>0</xdr:col>
      <xdr:colOff>57150</xdr:colOff>
      <xdr:row>0</xdr:row>
      <xdr:rowOff>76200</xdr:rowOff>
    </xdr:from>
    <xdr:ext cx="11029950" cy="8315325"/>
    <xdr:sp>
      <xdr:nvSpPr>
        <xdr:cNvPr id="4" name="Shape 4"/>
        <xdr:cNvSpPr/>
      </xdr:nvSpPr>
      <xdr:spPr>
        <a:xfrm>
          <a:off x="0" y="0"/>
          <a:ext cx="10692000" cy="7560000"/>
        </a:xfrm>
        <a:prstGeom prst="rect">
          <a:avLst/>
        </a:prstGeom>
        <a:noFill/>
        <a:ln cap="flat" cmpd="sng" w="19050">
          <a:solidFill>
            <a:srgbClr val="FF66CC"/>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95250</xdr:colOff>
      <xdr:row>0</xdr:row>
      <xdr:rowOff>219075</xdr:rowOff>
    </xdr:from>
    <xdr:ext cx="523875" cy="504825"/>
    <xdr:pic>
      <xdr:nvPicPr>
        <xdr:cNvPr descr="星 単色塗りつぶし"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85725</xdr:colOff>
      <xdr:row>0</xdr:row>
      <xdr:rowOff>209550</xdr:rowOff>
    </xdr:from>
    <xdr:ext cx="514350" cy="514350"/>
    <xdr:pic>
      <xdr:nvPicPr>
        <xdr:cNvPr descr="星 単色塗りつぶし"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123825</xdr:colOff>
      <xdr:row>0</xdr:row>
      <xdr:rowOff>133350</xdr:rowOff>
    </xdr:from>
    <xdr:ext cx="704850" cy="704850"/>
    <xdr:pic>
      <xdr:nvPicPr>
        <xdr:cNvPr descr="星印の付いた表彰リボン"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86"/>
    <col customWidth="1" min="3" max="15" width="12.29"/>
    <col customWidth="1" min="16" max="26" width="8.71"/>
  </cols>
  <sheetData>
    <row r="1" ht="18.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8.75" customHeight="1">
      <c r="A2" s="2"/>
      <c r="B2" s="3" t="s">
        <v>15</v>
      </c>
      <c r="C2" s="4">
        <v>4.0</v>
      </c>
      <c r="D2" s="5">
        <v>4.0</v>
      </c>
      <c r="E2" s="5">
        <v>5.0</v>
      </c>
      <c r="F2" s="5">
        <v>5.0</v>
      </c>
      <c r="G2" s="5">
        <v>5.0</v>
      </c>
      <c r="H2" s="5">
        <v>4.0</v>
      </c>
      <c r="I2" s="5">
        <v>4.0</v>
      </c>
      <c r="J2" s="5">
        <v>5.0</v>
      </c>
      <c r="K2" s="5">
        <v>5.0</v>
      </c>
      <c r="L2" s="6">
        <v>5.0</v>
      </c>
      <c r="M2" s="6">
        <v>4.0</v>
      </c>
      <c r="N2" s="5">
        <v>5.0</v>
      </c>
      <c r="O2" s="5">
        <v>5.0</v>
      </c>
      <c r="P2" s="7"/>
    </row>
    <row r="3" ht="5.25" customHeight="1">
      <c r="A3" s="8"/>
      <c r="B3" s="8" t="s">
        <v>16</v>
      </c>
      <c r="C3" s="8"/>
      <c r="D3" s="8"/>
      <c r="E3" s="8">
        <v>2.0</v>
      </c>
      <c r="F3" s="8"/>
      <c r="G3" s="8"/>
      <c r="H3" s="8"/>
      <c r="I3" s="8"/>
      <c r="J3" s="8">
        <v>4.0</v>
      </c>
      <c r="K3" s="8">
        <v>5.0</v>
      </c>
      <c r="L3" s="8"/>
      <c r="M3" s="8"/>
      <c r="N3" s="8"/>
      <c r="O3" s="8"/>
    </row>
    <row r="4" ht="18.75" customHeight="1">
      <c r="A4" s="1" t="s">
        <v>17</v>
      </c>
      <c r="B4" s="9">
        <v>18.0</v>
      </c>
    </row>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14"/>
    <col customWidth="1" min="2" max="9" width="9.0"/>
    <col customWidth="1" min="10" max="10" width="1.57"/>
    <col customWidth="1" min="11" max="20" width="8.71"/>
    <col customWidth="1" min="21" max="21" width="3.14"/>
    <col customWidth="1" min="22" max="26" width="8.71"/>
  </cols>
  <sheetData>
    <row r="1" ht="19.5" customHeight="1">
      <c r="A1" s="10"/>
      <c r="B1" s="11"/>
      <c r="C1" s="11"/>
      <c r="D1" s="11"/>
      <c r="E1" s="11"/>
      <c r="F1" s="11"/>
      <c r="G1" s="11"/>
      <c r="H1" s="11"/>
      <c r="I1" s="11"/>
      <c r="J1" s="12"/>
      <c r="K1" s="12"/>
      <c r="L1" s="12"/>
      <c r="M1" s="12"/>
      <c r="N1" s="12"/>
      <c r="O1" s="12"/>
      <c r="P1" s="12"/>
      <c r="Q1" s="12"/>
      <c r="R1" s="12"/>
      <c r="S1" s="12"/>
      <c r="T1" s="12"/>
      <c r="U1" s="13"/>
    </row>
    <row r="2" ht="15.0" customHeight="1">
      <c r="A2" s="14"/>
      <c r="B2" s="15" t="s">
        <v>18</v>
      </c>
      <c r="C2" s="16"/>
      <c r="D2" s="16"/>
      <c r="E2" s="16"/>
      <c r="F2" s="17"/>
      <c r="G2" s="18" t="str">
        <f>score!B2</f>
        <v>Kokoro Teramura</v>
      </c>
      <c r="H2" s="16"/>
      <c r="I2" s="19"/>
      <c r="J2" s="20"/>
      <c r="K2" s="21" t="s">
        <v>19</v>
      </c>
      <c r="L2" s="22"/>
      <c r="M2" s="22"/>
      <c r="N2" s="22"/>
      <c r="O2" s="23"/>
      <c r="P2" s="24" t="str">
        <f>"Lv."&amp;score!B4</f>
        <v>Lv.18</v>
      </c>
      <c r="Q2" s="23"/>
      <c r="R2" s="25"/>
      <c r="S2" s="26" t="s">
        <v>20</v>
      </c>
      <c r="T2" s="27"/>
      <c r="U2" s="20"/>
    </row>
    <row r="3" ht="23.25" customHeight="1">
      <c r="A3" s="14"/>
      <c r="B3" s="28"/>
      <c r="C3" s="29"/>
      <c r="D3" s="29"/>
      <c r="E3" s="29"/>
      <c r="F3" s="30"/>
      <c r="G3" s="28"/>
      <c r="H3" s="29"/>
      <c r="I3" s="31"/>
      <c r="J3" s="20"/>
      <c r="K3" s="32"/>
      <c r="L3" s="29"/>
      <c r="M3" s="29"/>
      <c r="N3" s="29"/>
      <c r="O3" s="30"/>
      <c r="P3" s="28"/>
      <c r="Q3" s="30"/>
      <c r="R3" s="33"/>
      <c r="S3" s="28"/>
      <c r="T3" s="31"/>
      <c r="U3" s="20"/>
    </row>
    <row r="4" ht="21.0" customHeight="1">
      <c r="A4" s="14"/>
      <c r="B4" s="34"/>
      <c r="I4" s="35"/>
      <c r="J4" s="20"/>
      <c r="K4" s="36" t="str">
        <f>IF(score!B4=30,category!B1,IF(score!B4=29,category!B2,IF(score!B4=28,category!B3,IF(score!B4=27,category!B4,IF(score!B4=26,category!B5,IF(score!B4=25,category!B6,IF(score!B4=24,category!B7,IF(score!B4=23,category!B8,IF(score!B4=22,category!B9,IF(score!B4=21,category!B10,IF(score!B4=20,category!B11,IF(score!B4=19,category!B12,IF(score!B4=18,category!B13,IF(score!B4=17,category!B14,IF(score!B4=16,category!B15,IF(score!B4=15,category!B16,IF(score!B4=14,category!B17,IF(score!B4=13,category!B18,IF(score!B4=12,category!B19,IF(score!B4=11,category!B20,IF(score!B4=10,category!B21,IF(score!B4=9,category!B22,IF(score!B4=8,category!B23,IF(score!B4=7,category!B24,IF(score!B4=6,category!B25,IF(score!B4=5,category!B26,IF(score!B4=4,category!B27,IF(score!B4=3,category!B28,IF(score!B4=2,category!B29,IF(score!B4=1,category!B30,""))))))))))))))))))))))))))))))</f>
        <v>声の大きさ [Voice]</v>
      </c>
      <c r="L4" s="37"/>
      <c r="M4" s="37"/>
      <c r="N4" s="37"/>
      <c r="O4" s="38"/>
      <c r="P4" s="36" t="str">
        <f>IF(score!B4=30,category!C1,IF(score!B4=29,category!C2,IF(score!B4=28,category!C3,IF(score!B4=27,category!C4,IF(score!B4=26,category!C5,IF(score!B4=25,category!C6,IF(score!B4=24,category!C7,IF(score!B4=23,category!C8,IF(score!B4=22,category!C9,IF(score!B4=21,category!C10,IF(score!B4=20,category!C11,IF(score!B4=19,category!C12,IF(score!B4=18,category!C13,IF(score!B4=17,category!C14,IF(score!B4=16,category!C15,IF(score!B4=15,category!C16,IF(score!B4=14,category!C17,IF(score!B4=13,category!C18,IF(score!B4=12,category!C19,IF(score!B4=11,category!C20,IF(score!B4=10,category!C21,IF(score!B4=9,category!C22,IF(score!B4=8,category!C23,IF(score!B4=7,category!C24,IF(score!B4=6,category!C25,IF(score!B4=5,category!C26,IF(score!B4=4,category!C27,IF(score!B4=3,category!C28,IF(score!B4=2,category!C29,IF(score!B4=1,category!B30,""))))))))))))))))))))))))))))))</f>
        <v>すらすら言える [Fluency]</v>
      </c>
      <c r="Q4" s="37"/>
      <c r="R4" s="37"/>
      <c r="S4" s="37"/>
      <c r="T4" s="39"/>
      <c r="U4" s="20"/>
    </row>
    <row r="5" ht="21.0" customHeight="1">
      <c r="A5" s="14"/>
      <c r="I5" s="35"/>
      <c r="J5" s="20"/>
      <c r="K5" s="28"/>
      <c r="L5" s="29"/>
      <c r="M5" s="29"/>
      <c r="N5" s="29"/>
      <c r="O5" s="40"/>
      <c r="P5" s="28"/>
      <c r="Q5" s="29"/>
      <c r="R5" s="29"/>
      <c r="S5" s="29"/>
      <c r="T5" s="31"/>
      <c r="U5" s="20"/>
    </row>
    <row r="6" ht="21.0" customHeight="1">
      <c r="A6" s="14"/>
      <c r="I6" s="35"/>
      <c r="J6" s="20"/>
      <c r="K6" s="41" t="s">
        <v>21</v>
      </c>
      <c r="L6" s="41" t="s">
        <v>22</v>
      </c>
      <c r="M6" s="41" t="s">
        <v>23</v>
      </c>
      <c r="N6" s="41" t="s">
        <v>24</v>
      </c>
      <c r="O6" s="42" t="s">
        <v>25</v>
      </c>
      <c r="P6" s="41" t="s">
        <v>21</v>
      </c>
      <c r="Q6" s="41" t="s">
        <v>22</v>
      </c>
      <c r="R6" s="41" t="s">
        <v>23</v>
      </c>
      <c r="S6" s="41" t="s">
        <v>24</v>
      </c>
      <c r="T6" s="43" t="s">
        <v>25</v>
      </c>
      <c r="U6" s="20"/>
    </row>
    <row r="7" ht="21.0" customHeight="1">
      <c r="A7" s="14"/>
      <c r="I7" s="35"/>
      <c r="J7" s="20"/>
      <c r="K7" s="44"/>
      <c r="L7" s="44"/>
      <c r="M7" s="44"/>
      <c r="N7" s="44"/>
      <c r="O7" s="45"/>
      <c r="P7" s="44"/>
      <c r="Q7" s="44"/>
      <c r="R7" s="44"/>
      <c r="S7" s="44"/>
      <c r="T7" s="46"/>
      <c r="U7" s="20"/>
    </row>
    <row r="8" ht="21.0" customHeight="1">
      <c r="A8" s="14"/>
      <c r="I8" s="35"/>
      <c r="J8" s="20"/>
      <c r="K8" s="44"/>
      <c r="L8" s="44"/>
      <c r="M8" s="44"/>
      <c r="N8" s="44"/>
      <c r="O8" s="45"/>
      <c r="P8" s="44"/>
      <c r="Q8" s="44"/>
      <c r="R8" s="44"/>
      <c r="S8" s="44"/>
      <c r="T8" s="46"/>
      <c r="U8" s="20"/>
    </row>
    <row r="9" ht="21.0" customHeight="1">
      <c r="A9" s="14"/>
      <c r="I9" s="35"/>
      <c r="J9" s="20"/>
      <c r="K9" s="44"/>
      <c r="L9" s="44"/>
      <c r="M9" s="44"/>
      <c r="N9" s="44"/>
      <c r="O9" s="45"/>
      <c r="P9" s="44"/>
      <c r="Q9" s="44"/>
      <c r="R9" s="44"/>
      <c r="S9" s="44"/>
      <c r="T9" s="46"/>
      <c r="U9" s="20"/>
    </row>
    <row r="10" ht="21.0" customHeight="1">
      <c r="A10" s="14"/>
      <c r="I10" s="35"/>
      <c r="J10" s="20"/>
      <c r="K10" s="47"/>
      <c r="L10" s="47"/>
      <c r="M10" s="47"/>
      <c r="N10" s="47"/>
      <c r="O10" s="48"/>
      <c r="P10" s="47"/>
      <c r="Q10" s="47"/>
      <c r="R10" s="47"/>
      <c r="S10" s="47"/>
      <c r="T10" s="49"/>
      <c r="U10" s="20"/>
    </row>
    <row r="11" ht="21.0" customHeight="1">
      <c r="A11" s="14"/>
      <c r="I11" s="35"/>
      <c r="J11" s="20"/>
      <c r="K11" s="50" t="str">
        <f>IF(score!B4=30,category!D1,IF(score!B4=29,category!D2,IF(score!B4=28,category!D3,IF(score!B4=27,category!D4,IF(score!B4=26,category!D5,IF(score!B4=25,category!D6,IF(score!B4=24,category!D7,IF(score!B4=23,category!D8,IF(score!B4=22,category!D9,IF(score!B4=21,category!D10,IF(score!B4=20,category!D11,IF(score!B4=19,category!D12,IF(score!B4=18,category!D13,IF(score!B4=17,category!D14,IF(score!B4=16,category!D15,IF(score!B4=15,category!D16,IF(score!B4=14,category!D17,IF(score!B4=13,category!D18,IF(score!B4=12,category!D19,IF(score!B4=11,category!D20,IF(score!B4=10,category!D21,IF(score!B4=9,category!D22,IF(score!B4=8,category!D23,IF(score!B4=7,category!D24,IF(score!B4=6,category!D25,IF(score!B4=5,category!D26,IF(score!B4=4,category!D27,IF(score!B4=3,category!D28,IF(score!B4=2,category!D29,IF(score!B4=1,category!B30,""))))))))))))))))))))))))))))))</f>
        <v>発音 [Pronunciation]</v>
      </c>
      <c r="L11" s="51"/>
      <c r="M11" s="51"/>
      <c r="N11" s="51"/>
      <c r="O11" s="52"/>
      <c r="P11" s="50" t="str">
        <f>IF(score!B4=30,category!E1,IF(score!B4=29,category!E2,IF(score!B4=28,category!E3,IF(score!B4=27,category!E4,IF(score!B4=26,category!E5,IF(score!B4=25,category!E6,IF(score!B4=24,category!E7,IF(score!B4=23,category!E8,IF(score!B4=22,category!E9,IF(score!B4=21,category!E10,IF(score!B4=20,category!E11,IF(score!B4=19,category!E12,IF(score!B4=18,category!E13,IF(score!B4=17,category!E14,IF(score!B4=16,category!E15,IF(score!B4=15,category!E16,IF(score!B4=14,category!E17,IF(score!B4=13,category!E18,IF(score!B4=12,category!E19,IF(score!B4=11,category!E20,IF(score!B4=10,category!E21,IF(score!B4=9,category!E22,IF(score!B4=8,category!E23,IF(score!B4=7,category!E24,IF(score!B4=6,category!E25,IF(score!B4=5,category!E26,IF(score!B4=4,category!E27,IF(score!B4=3,category!E28,IF(score!B4=2,category!E29,IF(score!B4=1,category!B30,""))))))))))))))))))))))))))))))</f>
        <v>暗記 [Memorization]</v>
      </c>
      <c r="Q11" s="51"/>
      <c r="R11" s="51"/>
      <c r="S11" s="51"/>
      <c r="T11" s="53"/>
      <c r="U11" s="20"/>
    </row>
    <row r="12" ht="21.0" customHeight="1">
      <c r="A12" s="14"/>
      <c r="I12" s="35"/>
      <c r="J12" s="20"/>
      <c r="K12" s="28"/>
      <c r="L12" s="29"/>
      <c r="M12" s="29"/>
      <c r="N12" s="29"/>
      <c r="O12" s="40"/>
      <c r="P12" s="28"/>
      <c r="Q12" s="29"/>
      <c r="R12" s="29"/>
      <c r="S12" s="29"/>
      <c r="T12" s="31"/>
      <c r="U12" s="20"/>
    </row>
    <row r="13" ht="21.0" customHeight="1">
      <c r="A13" s="14"/>
      <c r="I13" s="35"/>
      <c r="J13" s="20"/>
      <c r="K13" s="41" t="s">
        <v>21</v>
      </c>
      <c r="L13" s="41" t="s">
        <v>22</v>
      </c>
      <c r="M13" s="41" t="s">
        <v>23</v>
      </c>
      <c r="N13" s="41" t="s">
        <v>24</v>
      </c>
      <c r="O13" s="42" t="s">
        <v>25</v>
      </c>
      <c r="P13" s="41" t="s">
        <v>21</v>
      </c>
      <c r="Q13" s="41" t="s">
        <v>22</v>
      </c>
      <c r="R13" s="41" t="s">
        <v>23</v>
      </c>
      <c r="S13" s="41" t="s">
        <v>24</v>
      </c>
      <c r="T13" s="43" t="s">
        <v>25</v>
      </c>
      <c r="U13" s="20"/>
    </row>
    <row r="14" ht="21.0" customHeight="1">
      <c r="A14" s="14"/>
      <c r="I14" s="35"/>
      <c r="J14" s="20"/>
      <c r="K14" s="44"/>
      <c r="L14" s="44"/>
      <c r="M14" s="44"/>
      <c r="N14" s="44"/>
      <c r="O14" s="45"/>
      <c r="P14" s="44"/>
      <c r="Q14" s="44"/>
      <c r="R14" s="44"/>
      <c r="S14" s="44"/>
      <c r="T14" s="46"/>
      <c r="U14" s="20"/>
    </row>
    <row r="15" ht="21.0" customHeight="1">
      <c r="A15" s="14"/>
      <c r="I15" s="35"/>
      <c r="J15" s="20"/>
      <c r="K15" s="44"/>
      <c r="L15" s="44"/>
      <c r="M15" s="44"/>
      <c r="N15" s="44"/>
      <c r="O15" s="45"/>
      <c r="P15" s="44"/>
      <c r="Q15" s="44"/>
      <c r="R15" s="44"/>
      <c r="S15" s="44"/>
      <c r="T15" s="46"/>
      <c r="U15" s="20"/>
    </row>
    <row r="16" ht="21.0" customHeight="1">
      <c r="A16" s="14"/>
      <c r="I16" s="35"/>
      <c r="J16" s="20"/>
      <c r="K16" s="44"/>
      <c r="L16" s="44"/>
      <c r="M16" s="44"/>
      <c r="N16" s="44"/>
      <c r="O16" s="45"/>
      <c r="P16" s="44"/>
      <c r="Q16" s="44"/>
      <c r="R16" s="44"/>
      <c r="S16" s="44"/>
      <c r="T16" s="46"/>
      <c r="U16" s="20"/>
    </row>
    <row r="17" ht="21.0" customHeight="1">
      <c r="A17" s="14"/>
      <c r="B17" s="54"/>
      <c r="C17" s="54"/>
      <c r="D17" s="54"/>
      <c r="E17" s="54"/>
      <c r="F17" s="54"/>
      <c r="G17" s="54"/>
      <c r="H17" s="54"/>
      <c r="I17" s="55"/>
      <c r="J17" s="20"/>
      <c r="K17" s="47"/>
      <c r="L17" s="47"/>
      <c r="M17" s="47"/>
      <c r="N17" s="47"/>
      <c r="O17" s="48"/>
      <c r="P17" s="47"/>
      <c r="Q17" s="47"/>
      <c r="R17" s="47"/>
      <c r="S17" s="47"/>
      <c r="T17" s="49"/>
      <c r="U17" s="20"/>
    </row>
    <row r="18" ht="21.0" customHeight="1">
      <c r="A18" s="56"/>
      <c r="B18" s="11"/>
      <c r="C18" s="11"/>
      <c r="D18" s="11"/>
      <c r="E18" s="11"/>
      <c r="F18" s="11"/>
      <c r="G18" s="11"/>
      <c r="H18" s="11"/>
      <c r="I18" s="11"/>
      <c r="J18" s="20"/>
      <c r="K18" s="50" t="str">
        <f>IF(score!B4=30,category!F1,IF(score!B4=29,category!F2,IF(score!B4=28,category!F3,IF(score!B4=27,category!F4,IF(score!B4=26,category!F5,IF(score!B4=25,category!F6,IF(score!B4=24,category!F7,IF(score!B4=23,category!F8,IF(score!B4=22,category!F9,IF(score!B4=21,category!F10,IF(score!B4=20,category!F11,IF(score!B4=19,category!F12,IF(score!B4=18,category!F13,IF(score!B4=17,category!F14,IF(score!B4=16,category!F15,IF(score!B4=15,category!F16,IF(score!B4=14,category!F17,IF(score!B4=13,category!F18,IF(score!B4=12,category!F19,IF(score!B4=11,category!F20,IF(score!B4=10,category!F21,IF(score!B4=9,category!F22,IF(score!B4=8,category!F23,IF(score!B4=7,category!F24,IF(score!B4=6,category!F25,IF(score!B4=5,category!F26,IF(score!B4=4,category!F27,IF(score!B4=3,category!F28,IF(score!B4=2,category!F29,IF(score!B4=1,category!B30,""))))))))))))))))))))))))))))))</f>
        <v>内容 [Content]</v>
      </c>
      <c r="L18" s="51"/>
      <c r="M18" s="51"/>
      <c r="N18" s="51"/>
      <c r="O18" s="52"/>
      <c r="P18" s="50" t="str">
        <f>IF(score!B4=30,category!G1,IF(score!B4=29,category!G2,IF(score!B4=28,category!G3,IF(score!B4=27,category!G4,IF(score!B4=26,category!G5,IF(score!B4=25,category!G6,IF(score!B4=24,category!G7,IF(score!B4=23,category!G8,IF(score!B4=22,category!G9,IF(score!B4=21,category!G10,IF(score!B4=20,category!G11,IF(score!B4=19,category!G12,IF(score!B4=18,category!G13,IF(score!B4=17,category!G14,IF(score!B4=16,category!G15,IF(score!B4=15,category!G16,IF(score!B4=14,category!G17,IF(score!B4=13,category!G18,IF(score!B4=12,category!G19,IF(score!B4=11,category!G20,IF(score!B4=10,category!G21,IF(score!B4=9,category!G22,IF(score!B4=8,category!G23,IF(score!B4=7,category!G24,IF(score!B4=6,category!G25,IF(score!B4=5,category!G26,IF(score!B4=4,category!G27,IF(score!B4=3,category!G28,IF(score!B4=2,category!G29,IF(score!B4=1,category!B30,""))))))))))))))))))))))))))))))</f>
        <v>ジェスチャー [Gesture]</v>
      </c>
      <c r="Q18" s="51"/>
      <c r="R18" s="51"/>
      <c r="S18" s="51"/>
      <c r="T18" s="53"/>
      <c r="U18" s="20"/>
    </row>
    <row r="19" ht="21.0" customHeight="1">
      <c r="A19" s="56"/>
      <c r="B19" s="57"/>
      <c r="C19" s="58"/>
      <c r="D19" s="58"/>
      <c r="E19" s="58"/>
      <c r="F19" s="58"/>
      <c r="G19" s="58"/>
      <c r="H19" s="58"/>
      <c r="I19" s="59"/>
      <c r="J19" s="20"/>
      <c r="K19" s="28"/>
      <c r="L19" s="29"/>
      <c r="M19" s="29"/>
      <c r="N19" s="29"/>
      <c r="O19" s="40"/>
      <c r="P19" s="28"/>
      <c r="Q19" s="29"/>
      <c r="R19" s="29"/>
      <c r="S19" s="29"/>
      <c r="T19" s="31"/>
      <c r="U19" s="20"/>
    </row>
    <row r="20" ht="21.0" customHeight="1">
      <c r="A20" s="56"/>
      <c r="B20" s="57"/>
      <c r="C20" s="58"/>
      <c r="D20" s="58"/>
      <c r="E20" s="58"/>
      <c r="F20" s="58"/>
      <c r="G20" s="58"/>
      <c r="H20" s="58"/>
      <c r="I20" s="59"/>
      <c r="J20" s="20"/>
      <c r="K20" s="41" t="s">
        <v>21</v>
      </c>
      <c r="L20" s="41" t="s">
        <v>22</v>
      </c>
      <c r="M20" s="41" t="s">
        <v>23</v>
      </c>
      <c r="N20" s="41" t="s">
        <v>24</v>
      </c>
      <c r="O20" s="42" t="s">
        <v>25</v>
      </c>
      <c r="P20" s="41" t="s">
        <v>21</v>
      </c>
      <c r="Q20" s="41" t="s">
        <v>22</v>
      </c>
      <c r="R20" s="41" t="s">
        <v>23</v>
      </c>
      <c r="S20" s="41" t="s">
        <v>24</v>
      </c>
      <c r="T20" s="43" t="s">
        <v>25</v>
      </c>
      <c r="U20" s="20"/>
    </row>
    <row r="21" ht="21.0" customHeight="1">
      <c r="A21" s="56"/>
      <c r="B21" s="60" t="str">
        <f>IF(score!B4=30,comment!B7&amp;" "&amp;comment!B13&amp;" "&amp;comment!B19&amp;" "&amp;comment!B25&amp;" "&amp;comment!B31&amp;" "&amp;comment!B37&amp;" "&amp;comment!B43&amp;" "&amp;comment!B49,IF(score!B4=29,comment!C7&amp;" "&amp;comment!C13&amp;" "&amp;comment!C19&amp;" "&amp;comment!C25&amp;" "&amp;comment!C31&amp;" "&amp;comment!C37&amp;" "&amp;comment!C43&amp;" "&amp;comment!C49,IF(score!B4=28,comment!D7&amp;" "&amp;comment!D13&amp;" "&amp;comment!D19&amp;" "&amp;comment!D25&amp;" "&amp;comment!D31&amp;" "&amp;comment!D37&amp;" "&amp;comment!D43&amp;" "&amp;comment!D49,IF(score!B4=27,comment!E7&amp;" "&amp;comment!E13&amp;" "&amp;comment!E19&amp;" "&amp;comment!E25&amp;" "&amp;comment!E31&amp;" "&amp;comment!E37&amp;" "&amp;comment!E43&amp;" "&amp;comment!E49,IF(score!B4=26,comment!F7&amp;" "&amp;comment!F13&amp;" "&amp;comment!F19&amp;" "&amp;comment!F25&amp;" "&amp;comment!F31&amp;" "&amp;comment!F37&amp;" "&amp;comment!F43&amp;" "&amp;comment!F49,IF(score!B4=25,comment!G7&amp;" "&amp;comment!G13&amp;" "&amp;comment!G19&amp;" "&amp;comment!G25&amp;" "&amp;comment!G31&amp;" "&amp;comment!G37&amp;" "&amp;comment!G43&amp;" "&amp;comment!G49,IF(score!B4=24,comment!H7&amp;" "&amp;comment!H13&amp;" "&amp;comment!H19&amp;" "&amp;comment!H25&amp;" "&amp;comment!H31&amp;" "&amp;comment!H37&amp;" "&amp;comment!H43&amp;" "&amp;comment!H49,IF(score!B4=23,comment!I7&amp;" "&amp;comment!I13&amp;" "&amp;comment!I19&amp;" "&amp;comment!I25&amp;" "&amp;comment!I31&amp;" "&amp;comment!I37&amp;" "&amp;comment!I43&amp;" "&amp;comment!I49,IF(score!B4=22,comment!J7&amp;" "&amp;comment!J13&amp;" "&amp;comment!J19&amp;" "&amp;comment!J25&amp;" "&amp;comment!J31&amp;" "&amp;comment!J37&amp;" "&amp;comment!J43&amp;" "&amp;comment!J49,IF(score!B4=21,comment!K7&amp;" "&amp;comment!K13&amp;" "&amp;comment!K19&amp;" "&amp;comment!K25&amp;" "&amp;comment!K31&amp;" "&amp;comment!K37&amp;" "&amp;comment!K43&amp;" "&amp;comment!K49,IF(score!B4=20,comment!L7&amp;" "&amp;comment!L13&amp;" "&amp;comment!L19&amp;" "&amp;comment!L25&amp;" "&amp;comment!L31&amp;" "&amp;comment!L37&amp;" "&amp;comment!L43&amp;" "&amp;comment!L49,IF(score!B4=19,comment!M7&amp;" "&amp;comment!M13&amp;" "&amp;comment!M19&amp;" "&amp;comment!M25&amp;" "&amp;comment!M31&amp;" "&amp;comment!M37&amp;" "&amp;comment!M43&amp;" "&amp;comment!M49,IF(score!B4=18,comment!N7&amp;" "&amp;comment!N13&amp;" "&amp;comment!N19&amp;" "&amp;comment!N25&amp;" "&amp;comment!N31&amp;" "&amp;comment!N37&amp;" "&amp;comment!N43&amp;" "&amp;comment!N49,IF(score!B4=17,comment!O7&amp;" "&amp;comment!O13&amp;" "&amp;comment!O19&amp;" "&amp;comment!O25&amp;" "&amp;comment!O31&amp;" "&amp;comment!O37&amp;" "&amp;comment!O43&amp;" "&amp;comment!O49,IF(score!B4=16,comment!P7&amp;" "&amp;comment!P13&amp;" "&amp;comment!P19&amp;" "&amp;comment!P25&amp;" "&amp;comment!P31&amp;" "&amp;comment!P37&amp;" "&amp;comment!P43&amp;" "&amp;comment!P49,IF(score!B4=15,comment!Q7&amp;" "&amp;comment!Q13&amp;" "&amp;comment!Q19&amp;" "&amp;comment!Q25&amp;" "&amp;comment!Q31&amp;" "&amp;comment!Q37&amp;" "&amp;comment!Q43&amp;" "&amp;comment!Q49,IF(score!B4=14,comment!R7&amp;" "&amp;comment!R13&amp;" "&amp;comment!R19&amp;" "&amp;comment!R25&amp;" "&amp;comment!R31&amp;" "&amp;comment!R37&amp;" "&amp;comment!R43&amp;" "&amp;comment!R49,IF(score!B4=13,comment!S7&amp;" "&amp;comment!S13&amp;" "&amp;comment!S19&amp;" "&amp;comment!S25&amp;" "&amp;comment!S31&amp;" "&amp;comment!S37&amp;" "&amp;comment!S43&amp;" "&amp;comment!S49,IF(score!B4=12,comment!T7&amp;" "&amp;comment!T13&amp;" "&amp;comment!T19&amp;" "&amp;comment!T25&amp;" "&amp;comment!T31&amp;" "&amp;comment!T37&amp;" "&amp;comment!T43&amp;" "&amp;comment!T49,IF(score!B4=11,comment!U7&amp;" "&amp;comment!U13&amp;" "&amp;comment!U19&amp;" "&amp;comment!U25&amp;" "&amp;comment!U31&amp;" "&amp;comment!U37&amp;" "&amp;comment!U43&amp;" "&amp;comment!U49,IF(score!B4=10,comment!V7&amp;" "&amp;comment!V13&amp;" "&amp;comment!V19&amp;" "&amp;comment!V25&amp;" "&amp;comment!V31&amp;" "&amp;comment!V37&amp;" "&amp;comment!V43&amp;" "&amp;comment!V49,IF(score!B4=9,comment!W7&amp;" "&amp;comment!W13&amp;" "&amp;comment!W19&amp;" "&amp;comment!W25&amp;" "&amp;comment!W31&amp;" "&amp;comment!W37&amp;" "&amp;comment!W43&amp;" "&amp;comment!W49,IF(score!B4=8,comment!X7&amp;" "&amp;comment!X13&amp;" "&amp;comment!X19&amp;" "&amp;comment!X25&amp;" "&amp;comment!X31&amp;" "&amp;comment!X37&amp;" "&amp;comment!X43&amp;" "&amp;comment!X49,IF(score!B4=7,comment!Y7&amp;" "&amp;comment!Y13&amp;" "&amp;comment!Y19&amp;" "&amp;comment!Y25&amp;" "&amp;comment!Y31&amp;" "&amp;comment!Y37&amp;" "&amp;comment!Y43&amp;" "&amp;comment!Y49,IF(score!B4=6,comment!Z7&amp;" "&amp;comment!Z13&amp;" "&amp;comment!Z19&amp;" "&amp;comment!Z25&amp;" "&amp;comment!Z31&amp;" "&amp;comment!Z37&amp;" "&amp;comment!Z43&amp;" "&amp;comment!Z49,IF(score!B4=5,comment!AA7&amp;" "&amp;comment!AA13&amp;" "&amp;comment!AA19&amp;" "&amp;comment!AA25&amp;" "&amp;comment!AA31&amp;" "&amp;comment!AA37&amp;" "&amp;comment!AA43&amp;" "&amp;comment!AA49,IF(score!B4=4,comment!AB7&amp;" "&amp;comment!AB13&amp;" "&amp;comment!AB19&amp;" "&amp;comment!AB25&amp;" "&amp;comment!AB31&amp;" "&amp;comment!AB37&amp;" "&amp;comment!AB43&amp;" "&amp;comment!AB49,IF(score!B4=3,comment!AC7&amp;" "&amp;comment!AC13&amp;" "&amp;comment!AC19&amp;" "&amp;comment!AC25&amp;" "&amp;comment!AC31&amp;" "&amp;comment!AC37&amp;" "&amp;comment!AC43&amp;" "&amp;comment!AC49,IF(score!B4=2,comment!AD7&amp;" "&amp;comment!AD13&amp;" "&amp;comment!AD19&amp;" "&amp;comment!AD25&amp;" "&amp;comment!AD31&amp;" "&amp;comment!AD37&amp;" "&amp;comment!AD43&amp;" "&amp;comment!AD49,IF(score!B4=1,comment!AE7&amp;" "&amp;comment!AE13&amp;" "&amp;comment!AE19&amp;" "&amp;comment!AE25&amp;" "&amp;comment!AE31&amp;" "&amp;comment!AE37&amp;" "&amp;comment!AE43&amp;" "&amp;comment!AE49," "))))))))))))))))))))))))))))))</f>
        <v>18級では、ものがどこにあるか場所を説明する表現・自分の習慣について学習をしました。スピーチでは、準備や練習もがんばり、一部原稿を見ないで発表をすることができました！次回は原稿をすべて覚えてスピーチに挑戦してみよう♪　Good☆       </v>
      </c>
      <c r="C21" s="37"/>
      <c r="D21" s="37"/>
      <c r="E21" s="37"/>
      <c r="F21" s="37"/>
      <c r="G21" s="37"/>
      <c r="H21" s="37"/>
      <c r="I21" s="39"/>
      <c r="J21" s="20"/>
      <c r="K21" s="44"/>
      <c r="L21" s="44"/>
      <c r="M21" s="44"/>
      <c r="N21" s="44"/>
      <c r="O21" s="45"/>
      <c r="P21" s="44"/>
      <c r="Q21" s="44"/>
      <c r="R21" s="44"/>
      <c r="S21" s="44"/>
      <c r="T21" s="46"/>
      <c r="U21" s="20"/>
    </row>
    <row r="22" ht="21.0" customHeight="1">
      <c r="A22" s="56"/>
      <c r="B22" s="61"/>
      <c r="I22" s="35"/>
      <c r="J22" s="20"/>
      <c r="K22" s="44"/>
      <c r="L22" s="44"/>
      <c r="M22" s="44"/>
      <c r="N22" s="44"/>
      <c r="O22" s="45"/>
      <c r="P22" s="44"/>
      <c r="Q22" s="44"/>
      <c r="R22" s="44"/>
      <c r="S22" s="44"/>
      <c r="T22" s="46"/>
      <c r="U22" s="20"/>
    </row>
    <row r="23" ht="21.0" customHeight="1">
      <c r="A23" s="56"/>
      <c r="B23" s="61"/>
      <c r="I23" s="35"/>
      <c r="J23" s="20"/>
      <c r="K23" s="44"/>
      <c r="L23" s="44"/>
      <c r="M23" s="44"/>
      <c r="N23" s="44"/>
      <c r="O23" s="45"/>
      <c r="P23" s="44"/>
      <c r="Q23" s="44"/>
      <c r="R23" s="44"/>
      <c r="S23" s="44"/>
      <c r="T23" s="46"/>
      <c r="U23" s="20"/>
    </row>
    <row r="24" ht="21.0" customHeight="1">
      <c r="A24" s="56"/>
      <c r="B24" s="61"/>
      <c r="I24" s="35"/>
      <c r="J24" s="20"/>
      <c r="K24" s="47"/>
      <c r="L24" s="47"/>
      <c r="M24" s="47"/>
      <c r="N24" s="47"/>
      <c r="O24" s="48"/>
      <c r="P24" s="47"/>
      <c r="Q24" s="47"/>
      <c r="R24" s="47"/>
      <c r="S24" s="47"/>
      <c r="T24" s="49"/>
      <c r="U24" s="20"/>
    </row>
    <row r="25" ht="21.0" customHeight="1">
      <c r="A25" s="56"/>
      <c r="B25" s="61"/>
      <c r="I25" s="35"/>
      <c r="J25" s="20"/>
      <c r="K25" s="50" t="str">
        <f>IF(score!B4=30,category!H1,IF(score!B4=29,category!H2,IF(score!B4=28,category!H3,IF(score!B4=27,category!H4,IF(score!B4=26,category!H5,IF(score!B4=25,category!H6,IF(score!B4=24,category!H7,IF(score!B4=23,category!H8,IF(score!B4=22,category!H9,IF(score!B4=21,category!H10,IF(score!B4=20,category!H11,IF(score!B4=19,category!H12,IF(score!B4=18,category!H13,IF(score!B4=17,category!H14,IF(score!B4=16,category!H15,IF(score!B4=15,category!H16,IF(score!B4=14,category!H17,IF(score!B4=13,category!H18,IF(score!B4=12,category!H19,IF(score!B4=11,category!H20,IF(score!B4=10,category!H21,IF(score!B4=9,category!H22,IF(score!B4=8,category!H23,IF(score!B4=7,category!H24,IF(score!B4=6,category!H25,IF(score!B4=5,category!H26,IF(score!B4=4,category!H27,IF(score!B4=3,category!H28,IF(score!B4=2,category!H29,IF(score!B4=1,category!B30,""))))))))))))))))))))))))))))))</f>
        <v>顔の表情や目線 [Facial Expressions, Eyes]</v>
      </c>
      <c r="L25" s="51"/>
      <c r="M25" s="51"/>
      <c r="N25" s="51"/>
      <c r="O25" s="52"/>
      <c r="P25" s="50" t="str">
        <f>IF(score!B4=30,category!I1,IF(score!B4=29,category!I2,IF(score!B4=28,category!I3,IF(score!B4=27,category!I4,IF(score!B4=26,category!I5,IF(score!B4=25,category!I6,IF(score!B4=24,category!I7,IF(score!B4=23,category!I8,IF(score!B4=22,category!I9,IF(score!B4=21,category!I10,IF(score!B4=20,category!I11,IF(score!B4=19,category!I12,IF(score!B4=18,category!I13,IF(score!B4=17,category!I14,IF(score!B4=16,category!I15,IF(score!B4=15,category!I16,IF(score!B4=14,category!I17,IF(score!B4=13,category!I18,IF(score!B4=12,category!I19,IF(score!B4=11,category!I20,IF(score!B4=10,category!I21,IF(score!B4=9,category!I22,IF(score!B4=8,category!I23,IF(score!B4=7,category!I24,IF(score!B4=6,category!I25,IF(score!B4=5,category!I26,IF(score!B4=4,category!I27,IF(score!B4=3,category!I28,IF(score!B4=2,category!I29,IF(score!B4=1,category!B30,""))))))))))))))))))))))))))))))</f>
        <v>態度 [Atittude]</v>
      </c>
      <c r="Q25" s="51"/>
      <c r="R25" s="51"/>
      <c r="S25" s="51"/>
      <c r="T25" s="53"/>
      <c r="U25" s="20"/>
    </row>
    <row r="26" ht="21.0" customHeight="1">
      <c r="A26" s="56"/>
      <c r="B26" s="61"/>
      <c r="I26" s="35"/>
      <c r="J26" s="20"/>
      <c r="K26" s="28"/>
      <c r="L26" s="29"/>
      <c r="M26" s="29"/>
      <c r="N26" s="29"/>
      <c r="O26" s="40"/>
      <c r="P26" s="28"/>
      <c r="Q26" s="29"/>
      <c r="R26" s="29"/>
      <c r="S26" s="29"/>
      <c r="T26" s="31"/>
      <c r="U26" s="20"/>
    </row>
    <row r="27" ht="21.0" customHeight="1">
      <c r="A27" s="56"/>
      <c r="B27" s="61"/>
      <c r="I27" s="35"/>
      <c r="J27" s="20"/>
      <c r="K27" s="62" t="s">
        <v>21</v>
      </c>
      <c r="L27" s="41" t="s">
        <v>22</v>
      </c>
      <c r="M27" s="41" t="s">
        <v>23</v>
      </c>
      <c r="N27" s="41" t="s">
        <v>24</v>
      </c>
      <c r="O27" s="42" t="s">
        <v>25</v>
      </c>
      <c r="P27" s="41" t="s">
        <v>21</v>
      </c>
      <c r="Q27" s="41" t="s">
        <v>22</v>
      </c>
      <c r="R27" s="41" t="s">
        <v>23</v>
      </c>
      <c r="S27" s="41" t="s">
        <v>24</v>
      </c>
      <c r="T27" s="43" t="s">
        <v>25</v>
      </c>
      <c r="U27" s="20"/>
    </row>
    <row r="28" ht="21.0" customHeight="1">
      <c r="A28" s="56"/>
      <c r="B28" s="61"/>
      <c r="I28" s="35"/>
      <c r="J28" s="20"/>
      <c r="K28" s="63"/>
      <c r="L28" s="44"/>
      <c r="M28" s="44"/>
      <c r="N28" s="44"/>
      <c r="O28" s="45"/>
      <c r="P28" s="44"/>
      <c r="Q28" s="44"/>
      <c r="R28" s="44"/>
      <c r="S28" s="44"/>
      <c r="T28" s="46"/>
      <c r="U28" s="20"/>
    </row>
    <row r="29" ht="21.0" customHeight="1">
      <c r="A29" s="56"/>
      <c r="B29" s="61"/>
      <c r="I29" s="35"/>
      <c r="J29" s="20"/>
      <c r="K29" s="63"/>
      <c r="L29" s="44"/>
      <c r="M29" s="44"/>
      <c r="N29" s="44"/>
      <c r="O29" s="45"/>
      <c r="P29" s="44"/>
      <c r="Q29" s="44"/>
      <c r="R29" s="44"/>
      <c r="S29" s="44"/>
      <c r="T29" s="46"/>
      <c r="U29" s="20"/>
    </row>
    <row r="30" ht="21.0" customHeight="1">
      <c r="A30" s="56"/>
      <c r="B30" s="61"/>
      <c r="I30" s="35"/>
      <c r="J30" s="20"/>
      <c r="K30" s="63"/>
      <c r="L30" s="44"/>
      <c r="M30" s="44"/>
      <c r="N30" s="44"/>
      <c r="O30" s="45"/>
      <c r="P30" s="44"/>
      <c r="Q30" s="44"/>
      <c r="R30" s="44"/>
      <c r="S30" s="44"/>
      <c r="T30" s="46"/>
      <c r="U30" s="20"/>
    </row>
    <row r="31" ht="21.0" customHeight="1">
      <c r="A31" s="56"/>
      <c r="B31" s="64"/>
      <c r="C31" s="54"/>
      <c r="D31" s="54"/>
      <c r="E31" s="54"/>
      <c r="F31" s="54"/>
      <c r="G31" s="54"/>
      <c r="H31" s="54"/>
      <c r="I31" s="55"/>
      <c r="J31" s="20"/>
      <c r="K31" s="65"/>
      <c r="L31" s="66"/>
      <c r="M31" s="66"/>
      <c r="N31" s="66"/>
      <c r="O31" s="67"/>
      <c r="P31" s="66"/>
      <c r="Q31" s="66"/>
      <c r="R31" s="66"/>
      <c r="S31" s="66"/>
      <c r="T31" s="68"/>
      <c r="U31" s="20"/>
    </row>
    <row r="32" ht="19.5" customHeight="1">
      <c r="A32" s="69"/>
      <c r="B32" s="70"/>
      <c r="C32" s="70"/>
      <c r="D32" s="70"/>
      <c r="E32" s="70"/>
      <c r="F32" s="70"/>
      <c r="G32" s="70"/>
      <c r="H32" s="70"/>
      <c r="I32" s="70"/>
      <c r="J32" s="70"/>
      <c r="K32" s="70"/>
      <c r="L32" s="70"/>
      <c r="M32" s="70"/>
      <c r="N32" s="70"/>
      <c r="O32" s="70"/>
      <c r="P32" s="70"/>
      <c r="Q32" s="70"/>
      <c r="R32" s="70"/>
      <c r="S32" s="70"/>
      <c r="T32" s="70"/>
      <c r="U32" s="71"/>
    </row>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55">
    <mergeCell ref="K2:O3"/>
    <mergeCell ref="K11:O12"/>
    <mergeCell ref="K20:K24"/>
    <mergeCell ref="L20:L24"/>
    <mergeCell ref="M20:M24"/>
    <mergeCell ref="N20:N24"/>
    <mergeCell ref="O20:O24"/>
    <mergeCell ref="K13:K17"/>
    <mergeCell ref="L13:L17"/>
    <mergeCell ref="M13:M17"/>
    <mergeCell ref="N13:N17"/>
    <mergeCell ref="O13:O17"/>
    <mergeCell ref="P13:P17"/>
    <mergeCell ref="K18:O19"/>
    <mergeCell ref="R27:R31"/>
    <mergeCell ref="S27:S31"/>
    <mergeCell ref="K27:K31"/>
    <mergeCell ref="L27:L31"/>
    <mergeCell ref="M27:M31"/>
    <mergeCell ref="N27:N31"/>
    <mergeCell ref="O27:O31"/>
    <mergeCell ref="P27:P31"/>
    <mergeCell ref="Q27:Q31"/>
    <mergeCell ref="K4:O5"/>
    <mergeCell ref="K6:K10"/>
    <mergeCell ref="L6:L10"/>
    <mergeCell ref="M6:M10"/>
    <mergeCell ref="N6:N10"/>
    <mergeCell ref="O6:O10"/>
    <mergeCell ref="P6:P10"/>
    <mergeCell ref="Q6:Q10"/>
    <mergeCell ref="R6:R10"/>
    <mergeCell ref="S6:S10"/>
    <mergeCell ref="B2:F3"/>
    <mergeCell ref="G2:I3"/>
    <mergeCell ref="P2:Q3"/>
    <mergeCell ref="S2:T3"/>
    <mergeCell ref="P4:T5"/>
    <mergeCell ref="T6:T10"/>
    <mergeCell ref="P11:T12"/>
    <mergeCell ref="Q13:Q17"/>
    <mergeCell ref="R13:R17"/>
    <mergeCell ref="S13:S17"/>
    <mergeCell ref="T13:T17"/>
    <mergeCell ref="P18:T19"/>
    <mergeCell ref="B4:I17"/>
    <mergeCell ref="B21:I31"/>
    <mergeCell ref="P20:P24"/>
    <mergeCell ref="Q20:Q24"/>
    <mergeCell ref="R20:R24"/>
    <mergeCell ref="S20:S24"/>
    <mergeCell ref="T20:T24"/>
    <mergeCell ref="K25:O26"/>
    <mergeCell ref="P25:T26"/>
    <mergeCell ref="T27:T31"/>
  </mergeCells>
  <printOptions/>
  <pageMargins bottom="0.25" footer="0.0" header="0.0" left="0.25" right="0.25" top="0.2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1" width="7.71"/>
  </cols>
  <sheetData>
    <row r="1" ht="18.75" customHeight="1">
      <c r="B1" s="72">
        <v>30.0</v>
      </c>
      <c r="C1" s="72">
        <v>29.0</v>
      </c>
      <c r="D1" s="72">
        <v>28.0</v>
      </c>
      <c r="E1" s="72">
        <v>27.0</v>
      </c>
      <c r="F1" s="72">
        <v>26.0</v>
      </c>
      <c r="G1" s="72">
        <v>25.0</v>
      </c>
      <c r="H1" s="72">
        <v>24.0</v>
      </c>
      <c r="I1" s="72">
        <v>23.0</v>
      </c>
      <c r="J1" s="72">
        <v>22.0</v>
      </c>
      <c r="K1" s="72">
        <v>21.0</v>
      </c>
      <c r="L1" s="72">
        <v>20.0</v>
      </c>
      <c r="M1" s="72">
        <v>19.0</v>
      </c>
      <c r="N1" s="72">
        <v>18.0</v>
      </c>
      <c r="O1" s="72">
        <v>17.0</v>
      </c>
      <c r="P1" s="72">
        <v>16.0</v>
      </c>
      <c r="Q1" s="72">
        <v>15.0</v>
      </c>
      <c r="R1" s="72">
        <v>14.0</v>
      </c>
      <c r="S1" s="72">
        <v>13.0</v>
      </c>
      <c r="T1" s="72">
        <v>12.0</v>
      </c>
      <c r="U1" s="72">
        <v>11.0</v>
      </c>
      <c r="V1" s="72">
        <v>10.0</v>
      </c>
      <c r="W1" s="72">
        <v>9.0</v>
      </c>
      <c r="X1" s="72">
        <v>8.0</v>
      </c>
      <c r="Y1" s="72">
        <v>7.0</v>
      </c>
      <c r="Z1" s="72">
        <v>6.0</v>
      </c>
      <c r="AA1" s="72">
        <v>5.0</v>
      </c>
      <c r="AB1" s="72">
        <v>4.0</v>
      </c>
      <c r="AC1" s="72">
        <v>3.0</v>
      </c>
      <c r="AD1" s="72">
        <v>2.0</v>
      </c>
      <c r="AE1" s="72">
        <v>1.0</v>
      </c>
    </row>
    <row r="2" ht="18.75" customHeight="1">
      <c r="A2" s="73">
        <f>score!C2</f>
        <v>4</v>
      </c>
      <c r="B2" s="72" t="s">
        <v>26</v>
      </c>
      <c r="C2" s="72" t="s">
        <v>27</v>
      </c>
      <c r="D2" s="72" t="s">
        <v>28</v>
      </c>
      <c r="E2" s="72" t="s">
        <v>29</v>
      </c>
      <c r="F2" s="72" t="s">
        <v>30</v>
      </c>
      <c r="G2" s="72" t="s">
        <v>31</v>
      </c>
      <c r="H2" s="72" t="s">
        <v>32</v>
      </c>
      <c r="I2" s="72" t="s">
        <v>33</v>
      </c>
      <c r="J2" s="72" t="s">
        <v>34</v>
      </c>
      <c r="K2" s="72" t="s">
        <v>35</v>
      </c>
      <c r="L2" s="72" t="s">
        <v>36</v>
      </c>
      <c r="M2" s="72" t="s">
        <v>37</v>
      </c>
      <c r="N2" s="72" t="s">
        <v>38</v>
      </c>
      <c r="O2" s="72" t="s">
        <v>35</v>
      </c>
      <c r="P2" s="72" t="s">
        <v>39</v>
      </c>
      <c r="Q2" s="72" t="s">
        <v>40</v>
      </c>
      <c r="R2" s="72" t="s">
        <v>41</v>
      </c>
      <c r="S2" s="72" t="s">
        <v>42</v>
      </c>
      <c r="T2" s="72" t="s">
        <v>43</v>
      </c>
      <c r="U2" s="72" t="s">
        <v>44</v>
      </c>
      <c r="V2" s="72" t="s">
        <v>45</v>
      </c>
      <c r="W2" s="74" t="s">
        <v>46</v>
      </c>
      <c r="X2" s="72" t="s">
        <v>47</v>
      </c>
      <c r="Y2" s="72" t="s">
        <v>48</v>
      </c>
      <c r="Z2" s="72" t="s">
        <v>49</v>
      </c>
      <c r="AA2" s="72" t="s">
        <v>50</v>
      </c>
      <c r="AB2" s="72" t="s">
        <v>51</v>
      </c>
      <c r="AC2" s="72" t="s">
        <v>52</v>
      </c>
      <c r="AD2" s="72" t="s">
        <v>53</v>
      </c>
      <c r="AE2" s="72" t="s">
        <v>54</v>
      </c>
    </row>
    <row r="3" ht="18.75" customHeight="1">
      <c r="B3" s="72" t="s">
        <v>55</v>
      </c>
      <c r="C3" s="72" t="s">
        <v>56</v>
      </c>
      <c r="D3" s="72" t="s">
        <v>57</v>
      </c>
      <c r="E3" s="72" t="s">
        <v>58</v>
      </c>
      <c r="F3" s="72" t="s">
        <v>59</v>
      </c>
      <c r="G3" s="72" t="s">
        <v>60</v>
      </c>
      <c r="H3" s="72" t="s">
        <v>61</v>
      </c>
      <c r="I3" s="72" t="s">
        <v>62</v>
      </c>
      <c r="J3" s="72" t="s">
        <v>63</v>
      </c>
      <c r="K3" s="72" t="s">
        <v>64</v>
      </c>
      <c r="L3" s="72" t="s">
        <v>65</v>
      </c>
      <c r="M3" s="72" t="s">
        <v>66</v>
      </c>
      <c r="N3" s="72" t="s">
        <v>67</v>
      </c>
      <c r="O3" s="72" t="s">
        <v>64</v>
      </c>
      <c r="P3" s="72" t="s">
        <v>68</v>
      </c>
      <c r="Q3" s="72" t="s">
        <v>69</v>
      </c>
      <c r="R3" s="72" t="s">
        <v>70</v>
      </c>
      <c r="S3" s="72" t="s">
        <v>71</v>
      </c>
      <c r="T3" s="72" t="s">
        <v>72</v>
      </c>
      <c r="U3" s="72" t="s">
        <v>73</v>
      </c>
      <c r="V3" s="72" t="s">
        <v>74</v>
      </c>
      <c r="W3" s="75" t="s">
        <v>75</v>
      </c>
      <c r="X3" s="72" t="s">
        <v>76</v>
      </c>
      <c r="Y3" s="72" t="s">
        <v>77</v>
      </c>
      <c r="Z3" s="72" t="s">
        <v>78</v>
      </c>
      <c r="AA3" s="72" t="s">
        <v>79</v>
      </c>
      <c r="AB3" s="72" t="s">
        <v>80</v>
      </c>
      <c r="AC3" s="72" t="s">
        <v>81</v>
      </c>
      <c r="AD3" s="72" t="s">
        <v>82</v>
      </c>
      <c r="AE3" s="72" t="s">
        <v>83</v>
      </c>
    </row>
    <row r="4" ht="18.75" customHeight="1">
      <c r="B4" s="72" t="s">
        <v>84</v>
      </c>
      <c r="C4" s="72" t="s">
        <v>85</v>
      </c>
      <c r="D4" s="72" t="s">
        <v>86</v>
      </c>
      <c r="E4" s="72" t="s">
        <v>87</v>
      </c>
      <c r="F4" s="72" t="s">
        <v>88</v>
      </c>
      <c r="G4" s="72" t="s">
        <v>89</v>
      </c>
      <c r="H4" s="72" t="s">
        <v>90</v>
      </c>
      <c r="I4" s="72" t="s">
        <v>91</v>
      </c>
      <c r="J4" s="72" t="s">
        <v>92</v>
      </c>
      <c r="K4" s="72" t="s">
        <v>93</v>
      </c>
      <c r="L4" s="72" t="s">
        <v>94</v>
      </c>
      <c r="M4" s="72" t="s">
        <v>95</v>
      </c>
      <c r="N4" s="72" t="s">
        <v>96</v>
      </c>
      <c r="O4" s="72" t="s">
        <v>93</v>
      </c>
      <c r="P4" s="72" t="s">
        <v>97</v>
      </c>
      <c r="Q4" s="72" t="s">
        <v>98</v>
      </c>
      <c r="R4" s="72" t="s">
        <v>99</v>
      </c>
      <c r="S4" s="72" t="s">
        <v>100</v>
      </c>
      <c r="T4" s="72" t="s">
        <v>101</v>
      </c>
      <c r="U4" s="72" t="s">
        <v>102</v>
      </c>
      <c r="V4" s="72" t="s">
        <v>103</v>
      </c>
      <c r="W4" s="75" t="s">
        <v>104</v>
      </c>
      <c r="X4" s="72" t="s">
        <v>105</v>
      </c>
      <c r="Y4" s="72" t="s">
        <v>106</v>
      </c>
      <c r="Z4" s="72" t="s">
        <v>107</v>
      </c>
      <c r="AA4" s="72" t="s">
        <v>108</v>
      </c>
      <c r="AB4" s="72" t="s">
        <v>109</v>
      </c>
      <c r="AC4" s="72" t="s">
        <v>110</v>
      </c>
      <c r="AD4" s="72" t="s">
        <v>111</v>
      </c>
      <c r="AE4" s="72" t="s">
        <v>112</v>
      </c>
    </row>
    <row r="5" ht="18.75" customHeight="1">
      <c r="B5" s="72" t="s">
        <v>113</v>
      </c>
      <c r="C5" s="72" t="s">
        <v>114</v>
      </c>
      <c r="D5" s="72" t="s">
        <v>115</v>
      </c>
      <c r="E5" s="72" t="s">
        <v>116</v>
      </c>
      <c r="F5" s="72" t="s">
        <v>117</v>
      </c>
      <c r="G5" s="72" t="s">
        <v>118</v>
      </c>
      <c r="H5" s="72" t="s">
        <v>119</v>
      </c>
      <c r="I5" s="72" t="s">
        <v>120</v>
      </c>
      <c r="J5" s="72" t="s">
        <v>121</v>
      </c>
      <c r="K5" s="72" t="s">
        <v>122</v>
      </c>
      <c r="L5" s="72" t="s">
        <v>123</v>
      </c>
      <c r="M5" s="72" t="s">
        <v>124</v>
      </c>
      <c r="N5" s="72" t="s">
        <v>125</v>
      </c>
      <c r="O5" s="72" t="s">
        <v>122</v>
      </c>
      <c r="P5" s="72" t="s">
        <v>126</v>
      </c>
      <c r="Q5" s="72" t="s">
        <v>127</v>
      </c>
      <c r="R5" s="72" t="s">
        <v>128</v>
      </c>
      <c r="S5" s="72" t="s">
        <v>129</v>
      </c>
      <c r="T5" s="72" t="s">
        <v>130</v>
      </c>
      <c r="U5" s="72" t="s">
        <v>131</v>
      </c>
      <c r="V5" s="72" t="s">
        <v>132</v>
      </c>
      <c r="W5" s="75" t="s">
        <v>133</v>
      </c>
      <c r="X5" s="72" t="s">
        <v>134</v>
      </c>
      <c r="Y5" s="72" t="s">
        <v>135</v>
      </c>
      <c r="Z5" s="72" t="s">
        <v>136</v>
      </c>
      <c r="AA5" s="72" t="s">
        <v>137</v>
      </c>
      <c r="AB5" s="72" t="s">
        <v>138</v>
      </c>
      <c r="AC5" s="72" t="s">
        <v>139</v>
      </c>
      <c r="AD5" s="72" t="s">
        <v>140</v>
      </c>
      <c r="AE5" s="72" t="s">
        <v>141</v>
      </c>
    </row>
    <row r="6" ht="18.75" customHeight="1">
      <c r="B6" s="72" t="s">
        <v>142</v>
      </c>
      <c r="C6" s="72" t="s">
        <v>143</v>
      </c>
      <c r="D6" s="72" t="s">
        <v>144</v>
      </c>
      <c r="E6" s="72" t="s">
        <v>145</v>
      </c>
      <c r="F6" s="72" t="s">
        <v>146</v>
      </c>
      <c r="G6" s="72" t="s">
        <v>147</v>
      </c>
      <c r="H6" s="72" t="s">
        <v>148</v>
      </c>
      <c r="I6" s="72" t="s">
        <v>149</v>
      </c>
      <c r="J6" s="72" t="s">
        <v>150</v>
      </c>
      <c r="K6" s="72" t="s">
        <v>151</v>
      </c>
      <c r="L6" s="72" t="s">
        <v>152</v>
      </c>
      <c r="M6" s="72" t="s">
        <v>153</v>
      </c>
      <c r="N6" s="72" t="s">
        <v>154</v>
      </c>
      <c r="O6" s="72" t="s">
        <v>151</v>
      </c>
      <c r="P6" s="72" t="s">
        <v>155</v>
      </c>
      <c r="Q6" s="72" t="s">
        <v>156</v>
      </c>
      <c r="R6" s="72" t="s">
        <v>157</v>
      </c>
      <c r="S6" s="72" t="s">
        <v>158</v>
      </c>
      <c r="T6" s="72" t="s">
        <v>159</v>
      </c>
      <c r="U6" s="72" t="s">
        <v>160</v>
      </c>
      <c r="V6" s="72" t="s">
        <v>161</v>
      </c>
      <c r="W6" s="75" t="s">
        <v>162</v>
      </c>
      <c r="X6" s="72" t="s">
        <v>163</v>
      </c>
      <c r="Y6" s="72" t="s">
        <v>164</v>
      </c>
      <c r="Z6" s="72" t="s">
        <v>165</v>
      </c>
      <c r="AA6" s="72" t="s">
        <v>166</v>
      </c>
      <c r="AB6" s="72" t="s">
        <v>167</v>
      </c>
      <c r="AC6" s="72" t="s">
        <v>168</v>
      </c>
      <c r="AD6" s="72" t="s">
        <v>169</v>
      </c>
      <c r="AE6" s="72" t="s">
        <v>170</v>
      </c>
    </row>
    <row r="7" ht="18.75" customHeight="1">
      <c r="B7" s="76" t="str">
        <f t="shared" ref="B7:AE7" si="1">IF($A$2=1,B2,IF($A$2=2,B3,IF($A$2=3,B4,IF($A$2=4,B5,IF($A$2=5,B6,"-")))))</f>
        <v>30c4</v>
      </c>
      <c r="C7" s="76" t="str">
        <f t="shared" si="1"/>
        <v>29c4</v>
      </c>
      <c r="D7" s="76" t="str">
        <f t="shared" si="1"/>
        <v>28c4</v>
      </c>
      <c r="E7" s="76" t="str">
        <f t="shared" si="1"/>
        <v>27c4</v>
      </c>
      <c r="F7" s="76" t="str">
        <f t="shared" si="1"/>
        <v>26c4</v>
      </c>
      <c r="G7" s="76" t="str">
        <f t="shared" si="1"/>
        <v>25c4</v>
      </c>
      <c r="H7" s="76" t="str">
        <f t="shared" si="1"/>
        <v>"Hello"を英語で言えました！</v>
      </c>
      <c r="I7" s="76" t="str">
        <f t="shared" si="1"/>
        <v>23級では、ショッピングで役に立つ表現を学習しました。自分の名前、年れいを英語で言えました！</v>
      </c>
      <c r="J7" s="76" t="str">
        <f t="shared" si="1"/>
        <v>22級では、ほしいものや必要なものを英語で言う表現を学習しました。自分の名前・年れいを英語で言えました！</v>
      </c>
      <c r="K7" s="76" t="str">
        <f t="shared" si="1"/>
        <v>自分の名前・年れいを英語で言えました！</v>
      </c>
      <c r="L7" s="76" t="str">
        <f t="shared" si="1"/>
        <v>20級では、「自分の名前・年れい・体の調子・好きなもの・好きではないもの・持っているもの・ほしいもの・暑い日に着るもの・天気」をテーマにスピーチをしました。準備や練習もがんばり、一部原稿を見ないで発表をすることができました！次回は原稿をすべて覚えてスピーチに挑戦してみよう♪　Good☆</v>
      </c>
      <c r="M7" s="76" t="str">
        <f t="shared" si="1"/>
        <v>19級では、自分や家族の紹介（できること・性格など）をしました。自分の名前・年れいを英語で言えました！</v>
      </c>
      <c r="N7" s="76" t="str">
        <f t="shared" si="1"/>
        <v>18級では、ものがどこにあるか場所を説明する表現・自分の習慣について学習をしました。スピーチでは、準備や練習もがんばり、一部原稿を見ないで発表をすることができました！次回は原稿をすべて覚えてスピーチに挑戦してみよう♪　Good☆</v>
      </c>
      <c r="O7" s="76" t="str">
        <f t="shared" si="1"/>
        <v>自分の名前・年れいを英語で言えました！</v>
      </c>
      <c r="P7" s="76" t="str">
        <f t="shared" si="1"/>
        <v>16級では、道案内、将来の夢、家族紹介の学習をしました。テストでは、「誕生日にほしいもの(16級)・年中行事(16級)・家族紹介」にテーマにスピーチをしました。準備や練習もがんばり、一部原稿を見ないで発表をすることができました！次回は原稿をすべて覚えてスピーチに挑戦してみよう♪　Good☆</v>
      </c>
      <c r="Q7" s="76" t="str">
        <f t="shared" si="1"/>
        <v>15級では、世界の国々にある建物や有名なものについて学習しました。自分の名前・年れいを英語で言えました！</v>
      </c>
      <c r="R7" s="76" t="str">
        <f t="shared" si="1"/>
        <v>14級では、「出身・自分の国にあるもの・それがどんなものか・ふだんすること・時々すること・いつもすること」をテーマにスピーチをしました。準備や練習もがんばり、一部原稿を見ないで発表をすることができました！次回は原稿をすべて覚えてスピーチに挑戦してみよう♪　Good☆</v>
      </c>
      <c r="S7" s="76" t="str">
        <f t="shared" si="1"/>
        <v>13級では、病院でお医者さんに症状を英語で伝える表現・三人称単数現在形のS・現在進行形・Be動詞を学習しました。自分の名前・年れいを英語で言えました！</v>
      </c>
      <c r="T7" s="76" t="str">
        <f t="shared" si="1"/>
        <v>12級では、過去1週間にしたことをテーマにスピーチをしました。準備や練習もがんばり、一部原稿を見ないで発表をすることができました！次回は原稿をすべて覚えてスピーチに挑戦してみよう♪　Good☆</v>
      </c>
      <c r="U7" s="76" t="str">
        <f t="shared" si="1"/>
        <v>11級では、Why?（なぜ）に対して理由を説明する学習しました。自分の名前・年れい・体の調子を英語で言えました！</v>
      </c>
      <c r="V7" s="76" t="str">
        <f t="shared" si="1"/>
        <v>10級では、「自分の出身地・出身地の有名な事柄・自分が持っているもの・自分が得意な事・自分の日常・家族の職業・家族が得意な事・自分が好きな事とその理由」をテーマにスピーチをしました。準備や練習もがんばり、一部原稿を見ないで発表をすることができました！次回は原稿をすべて覚えてスピーチに挑戦してみよう♪　Good☆</v>
      </c>
      <c r="W7" s="77" t="str">
        <f t="shared" si="1"/>
        <v>9級では不定詞/過去進行形/whenを使った表現、
to+動詞の原形(すること/するための・すべき/するために・~して)とwas/were+動詞ingを学習しました。
テストでは過去のある時点で誰が何をしていたかを説明する英語を使いアリバイゲームをしました。準備や練習もがんばり、一部自分の言葉で説明することができました！次回は先生の急な質問にも全て英語で答えることに挑戦してみよう♪　Good☆</v>
      </c>
      <c r="X7" s="76" t="str">
        <f t="shared" si="1"/>
        <v>8級では、「家族の性格・家族がふだんすること・ある日の家族との思い出・自分の週末の紹介・週末にする予定・雨天の場合の予定・週末にしなくてもよいこと・週末にしなくてはいけないこと」をテーマにスピーチをしました。準備や練習もがんばり、一部原稿を見ないで発表をすることができました！次回は原稿をすべて覚えてスピーチに挑戦してみよう♪　Good☆</v>
      </c>
      <c r="Y7" s="76" t="str">
        <f t="shared" si="1"/>
        <v>7級では、さまざまな人やものを比べる表現を学習しました。自分の名前・年れいを英語で言えました！</v>
      </c>
      <c r="Z7" s="76" t="str">
        <f t="shared" si="1"/>
        <v>6級では、自分がしたいことをテーマにスピーチをしました。準備や練習もがんばり、一部原稿を見ないで発表をすることができました！次回は原稿をすべて覚えてスピーチに挑戦してみよう♪　Good☆</v>
      </c>
      <c r="AA7" s="76" t="str">
        <f t="shared" si="1"/>
        <v>5級では、現在完了形の表現を学習しました。自分の名前・年れい・体の調子を英語で言えました！</v>
      </c>
      <c r="AB7" s="76" t="str">
        <f t="shared" si="1"/>
        <v>4級では、「自分についての紹介・生まれ・今住んでいるところ・することが好きなこと・長い間していること・持っている特別なもの・行ったことがある場所・その場所の説明・終わりのあいさつ」をテーマにスピーチをしました。準備や練習もがんばり、一部原稿を見ないで発表をすることができました！次回は原稿をすべて覚えてスピーチに挑戦してみよう♪　Good☆</v>
      </c>
      <c r="AC7" s="76" t="str">
        <f t="shared" si="1"/>
        <v>3級では、さまざまな表現(仮定法・不可疑問・間接疑問など)を学習しました。自分の名前・年齢・体の調子・天気・誕生日を英語で言えました！</v>
      </c>
      <c r="AD7" s="76" t="str">
        <f t="shared" si="1"/>
        <v>2級では、9級から3級までに学習した文法が入った長めの自己紹介をテーマにスピーチをしました（生まれ・育ち・2つのものを比べてどちらが好きかとその理由・将来の夢としたいこと・どんな人になりたいか・もしお金持ちだったらしてみたいこと）。準備や練習もがんばり、一部原稿を見ないで発表をすることができました！次回は原稿をすべて覚えてスピーチに挑戦してみよう♪　Good☆</v>
      </c>
      <c r="AE7" s="76" t="str">
        <f t="shared" si="1"/>
        <v>1c4</v>
      </c>
    </row>
    <row r="8" ht="18.75" customHeight="1">
      <c r="A8" s="73">
        <f>score!D2</f>
        <v>4</v>
      </c>
      <c r="B8" s="72" t="s">
        <v>26</v>
      </c>
      <c r="C8" s="72" t="s">
        <v>27</v>
      </c>
      <c r="D8" s="72" t="s">
        <v>28</v>
      </c>
      <c r="E8" s="72" t="s">
        <v>29</v>
      </c>
      <c r="F8" s="72" t="s">
        <v>30</v>
      </c>
      <c r="G8" s="72" t="s">
        <v>31</v>
      </c>
      <c r="H8" s="72" t="s">
        <v>171</v>
      </c>
      <c r="I8" s="72" t="s">
        <v>172</v>
      </c>
      <c r="J8" s="72" t="s">
        <v>173</v>
      </c>
      <c r="K8" s="72" t="s">
        <v>174</v>
      </c>
      <c r="L8" s="78"/>
      <c r="M8" s="72" t="s">
        <v>175</v>
      </c>
      <c r="N8" s="78"/>
      <c r="O8" s="72" t="s">
        <v>176</v>
      </c>
      <c r="P8" s="78"/>
      <c r="Q8" s="72" t="s">
        <v>177</v>
      </c>
      <c r="R8" s="78"/>
      <c r="S8" s="72" t="s">
        <v>176</v>
      </c>
      <c r="T8" s="78"/>
      <c r="U8" s="72" t="s">
        <v>178</v>
      </c>
      <c r="V8" s="78"/>
      <c r="W8" s="79"/>
      <c r="X8" s="78"/>
      <c r="Y8" s="72" t="s">
        <v>179</v>
      </c>
      <c r="Z8" s="78"/>
      <c r="AA8" s="72" t="s">
        <v>180</v>
      </c>
      <c r="AB8" s="78"/>
      <c r="AC8" s="72" t="s">
        <v>181</v>
      </c>
      <c r="AD8" s="78"/>
      <c r="AE8" s="72" t="s">
        <v>54</v>
      </c>
    </row>
    <row r="9" ht="18.75" customHeight="1">
      <c r="B9" s="72" t="s">
        <v>55</v>
      </c>
      <c r="C9" s="72" t="s">
        <v>56</v>
      </c>
      <c r="D9" s="72" t="s">
        <v>57</v>
      </c>
      <c r="E9" s="72" t="s">
        <v>58</v>
      </c>
      <c r="F9" s="72" t="s">
        <v>59</v>
      </c>
      <c r="G9" s="72" t="s">
        <v>60</v>
      </c>
      <c r="H9" s="72" t="s">
        <v>182</v>
      </c>
      <c r="I9" s="72" t="s">
        <v>183</v>
      </c>
      <c r="J9" s="72" t="s">
        <v>184</v>
      </c>
      <c r="K9" s="72" t="s">
        <v>185</v>
      </c>
      <c r="L9" s="78"/>
      <c r="M9" s="72" t="s">
        <v>186</v>
      </c>
      <c r="N9" s="78"/>
      <c r="O9" s="72" t="s">
        <v>187</v>
      </c>
      <c r="P9" s="78"/>
      <c r="Q9" s="72" t="s">
        <v>188</v>
      </c>
      <c r="R9" s="78"/>
      <c r="S9" s="72" t="s">
        <v>187</v>
      </c>
      <c r="T9" s="78"/>
      <c r="U9" s="72" t="s">
        <v>189</v>
      </c>
      <c r="V9" s="78"/>
      <c r="W9" s="79"/>
      <c r="X9" s="78"/>
      <c r="Y9" s="72" t="s">
        <v>190</v>
      </c>
      <c r="Z9" s="78"/>
      <c r="AA9" s="72" t="s">
        <v>191</v>
      </c>
      <c r="AB9" s="78"/>
      <c r="AC9" s="72" t="s">
        <v>192</v>
      </c>
      <c r="AD9" s="78"/>
      <c r="AE9" s="72" t="s">
        <v>83</v>
      </c>
    </row>
    <row r="10" ht="18.75" customHeight="1">
      <c r="B10" s="72" t="s">
        <v>84</v>
      </c>
      <c r="C10" s="72" t="s">
        <v>85</v>
      </c>
      <c r="D10" s="72" t="s">
        <v>86</v>
      </c>
      <c r="E10" s="72" t="s">
        <v>87</v>
      </c>
      <c r="F10" s="72" t="s">
        <v>88</v>
      </c>
      <c r="G10" s="72" t="s">
        <v>89</v>
      </c>
      <c r="H10" s="72" t="s">
        <v>193</v>
      </c>
      <c r="I10" s="72" t="s">
        <v>194</v>
      </c>
      <c r="J10" s="72" t="s">
        <v>195</v>
      </c>
      <c r="K10" s="72" t="s">
        <v>196</v>
      </c>
      <c r="L10" s="78"/>
      <c r="M10" s="72" t="s">
        <v>197</v>
      </c>
      <c r="N10" s="78"/>
      <c r="O10" s="72" t="s">
        <v>198</v>
      </c>
      <c r="P10" s="78"/>
      <c r="Q10" s="72" t="s">
        <v>199</v>
      </c>
      <c r="R10" s="78"/>
      <c r="S10" s="72" t="s">
        <v>198</v>
      </c>
      <c r="T10" s="78"/>
      <c r="U10" s="72" t="s">
        <v>200</v>
      </c>
      <c r="V10" s="78"/>
      <c r="W10" s="79"/>
      <c r="X10" s="78"/>
      <c r="Y10" s="72" t="s">
        <v>201</v>
      </c>
      <c r="Z10" s="78"/>
      <c r="AA10" s="72" t="s">
        <v>202</v>
      </c>
      <c r="AB10" s="78"/>
      <c r="AC10" s="72" t="s">
        <v>203</v>
      </c>
      <c r="AD10" s="78"/>
      <c r="AE10" s="72" t="s">
        <v>112</v>
      </c>
    </row>
    <row r="11" ht="18.75" customHeight="1">
      <c r="B11" s="72" t="s">
        <v>113</v>
      </c>
      <c r="C11" s="72" t="s">
        <v>114</v>
      </c>
      <c r="D11" s="72" t="s">
        <v>115</v>
      </c>
      <c r="E11" s="72" t="s">
        <v>116</v>
      </c>
      <c r="F11" s="72" t="s">
        <v>117</v>
      </c>
      <c r="G11" s="72" t="s">
        <v>118</v>
      </c>
      <c r="H11" s="72" t="s">
        <v>93</v>
      </c>
      <c r="I11" s="72" t="s">
        <v>204</v>
      </c>
      <c r="J11" s="72" t="s">
        <v>205</v>
      </c>
      <c r="K11" s="72" t="s">
        <v>206</v>
      </c>
      <c r="L11" s="78"/>
      <c r="M11" s="72" t="s">
        <v>207</v>
      </c>
      <c r="N11" s="78"/>
      <c r="O11" s="72" t="s">
        <v>208</v>
      </c>
      <c r="P11" s="78"/>
      <c r="Q11" s="72" t="s">
        <v>209</v>
      </c>
      <c r="R11" s="78"/>
      <c r="S11" s="72" t="s">
        <v>208</v>
      </c>
      <c r="T11" s="78"/>
      <c r="U11" s="72" t="s">
        <v>210</v>
      </c>
      <c r="V11" s="78"/>
      <c r="W11" s="79"/>
      <c r="X11" s="78"/>
      <c r="Y11" s="72" t="s">
        <v>211</v>
      </c>
      <c r="Z11" s="78"/>
      <c r="AA11" s="72" t="s">
        <v>212</v>
      </c>
      <c r="AB11" s="78"/>
      <c r="AC11" s="72" t="s">
        <v>213</v>
      </c>
      <c r="AD11" s="78"/>
      <c r="AE11" s="72" t="s">
        <v>141</v>
      </c>
    </row>
    <row r="12" ht="18.75" customHeight="1">
      <c r="B12" s="72" t="s">
        <v>142</v>
      </c>
      <c r="C12" s="72" t="s">
        <v>143</v>
      </c>
      <c r="D12" s="72" t="s">
        <v>144</v>
      </c>
      <c r="E12" s="72" t="s">
        <v>145</v>
      </c>
      <c r="F12" s="72" t="s">
        <v>146</v>
      </c>
      <c r="G12" s="72" t="s">
        <v>147</v>
      </c>
      <c r="H12" s="72" t="s">
        <v>214</v>
      </c>
      <c r="I12" s="72" t="s">
        <v>215</v>
      </c>
      <c r="J12" s="72" t="s">
        <v>216</v>
      </c>
      <c r="K12" s="72" t="s">
        <v>217</v>
      </c>
      <c r="L12" s="78"/>
      <c r="M12" s="72" t="s">
        <v>218</v>
      </c>
      <c r="N12" s="78"/>
      <c r="O12" s="72" t="s">
        <v>219</v>
      </c>
      <c r="P12" s="78"/>
      <c r="Q12" s="72" t="s">
        <v>220</v>
      </c>
      <c r="R12" s="78"/>
      <c r="S12" s="72" t="s">
        <v>219</v>
      </c>
      <c r="T12" s="78"/>
      <c r="U12" s="72" t="s">
        <v>221</v>
      </c>
      <c r="V12" s="78"/>
      <c r="W12" s="79"/>
      <c r="X12" s="78"/>
      <c r="Y12" s="72" t="s">
        <v>222</v>
      </c>
      <c r="Z12" s="78"/>
      <c r="AA12" s="72" t="s">
        <v>223</v>
      </c>
      <c r="AB12" s="78"/>
      <c r="AC12" s="72" t="s">
        <v>224</v>
      </c>
      <c r="AD12" s="78"/>
      <c r="AE12" s="72" t="s">
        <v>170</v>
      </c>
    </row>
    <row r="13" ht="18.75" customHeight="1">
      <c r="B13" s="76" t="str">
        <f t="shared" ref="B13:K13" si="2">IF($A$8=1,B8,IF($A$8=2,B9,IF($A$8=3,B10,IF($A$8=4,B11,IF($A$8=5,B12,"-")))))</f>
        <v>30c4</v>
      </c>
      <c r="C13" s="76" t="str">
        <f t="shared" si="2"/>
        <v>29c4</v>
      </c>
      <c r="D13" s="76" t="str">
        <f t="shared" si="2"/>
        <v>28c4</v>
      </c>
      <c r="E13" s="76" t="str">
        <f t="shared" si="2"/>
        <v>27c4</v>
      </c>
      <c r="F13" s="76" t="str">
        <f t="shared" si="2"/>
        <v>26c4</v>
      </c>
      <c r="G13" s="76" t="str">
        <f t="shared" si="2"/>
        <v>25c4</v>
      </c>
      <c r="H13" s="76" t="str">
        <f t="shared" si="2"/>
        <v>自分の名前を英語で言えました！</v>
      </c>
      <c r="I13" s="76" t="str">
        <f t="shared" si="2"/>
        <v>お花についての単語はばっちり！質問もあと少しでカンペキでした。</v>
      </c>
      <c r="J13" s="76" t="str">
        <f t="shared" si="2"/>
        <v>食べ物の単語はばっちり！質問もあと少しでカンペキでした。</v>
      </c>
      <c r="K13" s="76" t="str">
        <f t="shared" si="2"/>
        <v>曜日についての単語はばっちり！質問もあと少しでカンペキでした。</v>
      </c>
      <c r="L13" s="78"/>
      <c r="M13" s="76" t="str">
        <f>IF($A$8=1,M8,IF($A$8=2,M9,IF($A$8=3,M10,IF($A$8=4,M11,IF($A$8=5,M12,"-")))))</f>
        <v>楽器の単語はばっちり！質問もあと少しでカンペキでした。</v>
      </c>
      <c r="N13" s="78"/>
      <c r="O13" s="76" t="str">
        <f>IF($A$8=1,O8,IF($A$8=2,O9,IF($A$8=3,O10,IF($A$8=4,O11,IF($A$8=5,O12,"-")))))</f>
        <v>体のパーツについての単語はばっちり！質問もあと少しでカンペキでした。</v>
      </c>
      <c r="P13" s="78"/>
      <c r="Q13" s="76" t="str">
        <f>IF($A$8=1,Q8,IF($A$8=2,Q9,IF($A$8=3,Q10,IF($A$8=4,Q11,IF($A$8=5,Q12,"-")))))</f>
        <v>国の単語はばっちり！質問もあと少しでカンペキでした。</v>
      </c>
      <c r="R13" s="78"/>
      <c r="S13" s="76" t="str">
        <f>IF($A$8=1,S8,IF($A$8=2,S9,IF($A$8=3,S10,IF($A$8=4,S11,IF($A$8=5,S12,"-")))))</f>
        <v>体のパーツについての単語はばっちり！質問もあと少しでカンペキでした。</v>
      </c>
      <c r="T13" s="78"/>
      <c r="U13" s="76" t="str">
        <f>IF($A$8=1,U8,IF($A$8=2,U9,IF($A$8=3,U10,IF($A$8=4,U11,IF($A$8=5,U12,"-")))))</f>
        <v>動詞ついての単語はばっちり！質問もあと少しでカンペキでした。</v>
      </c>
      <c r="V13" s="78"/>
      <c r="W13" s="79"/>
      <c r="X13" s="78"/>
      <c r="Y13" s="76" t="str">
        <f>IF($A$8=1,Y8,IF($A$8=2,Y9,IF($A$8=3,Y10,IF($A$8=4,Y11,IF($A$8=5,Y12,"-")))))</f>
        <v>形容詞の単語はばっちり！自分で作文するにはあと少しでした。</v>
      </c>
      <c r="Z13" s="78"/>
      <c r="AA13" s="76" t="str">
        <f>IF($A$8=1,AA8,IF($A$8=2,AA9,IF($A$8=3,AA10,IF($A$8=4,AA11,IF($A$8=5,AA12,"-")))))</f>
        <v>現在形の動詞はばっちり！自分で作文するにはあと少しでした。</v>
      </c>
      <c r="AB13" s="78"/>
      <c r="AC13" s="76" t="str">
        <f>IF($A$8=1,AC8,IF($A$8=2,AC9,IF($A$8=3,AC10,IF($A$8=4,AC11,IF($A$8=5,AC12,"-")))))</f>
        <v>3級の単語はばっちり！自分で作文するにはあと少しでした。</v>
      </c>
      <c r="AD13" s="78"/>
      <c r="AE13" s="76" t="str">
        <f>IF($A$8=1,AE8,IF($A$8=2,AE9,IF($A$8=3,AE10,IF($A$8=4,AE11,IF($A$8=5,AE12,"-")))))</f>
        <v>1c4</v>
      </c>
    </row>
    <row r="14" ht="18.75" customHeight="1">
      <c r="A14" s="73">
        <f>score!E2</f>
        <v>5</v>
      </c>
      <c r="B14" s="72" t="s">
        <v>26</v>
      </c>
      <c r="C14" s="72" t="s">
        <v>27</v>
      </c>
      <c r="D14" s="72" t="s">
        <v>28</v>
      </c>
      <c r="E14" s="72" t="s">
        <v>29</v>
      </c>
      <c r="F14" s="72" t="s">
        <v>30</v>
      </c>
      <c r="G14" s="72" t="s">
        <v>31</v>
      </c>
      <c r="H14" s="72" t="s">
        <v>225</v>
      </c>
      <c r="I14" s="72" t="s">
        <v>226</v>
      </c>
      <c r="J14" s="72" t="s">
        <v>227</v>
      </c>
      <c r="K14" s="72" t="s">
        <v>228</v>
      </c>
      <c r="L14" s="78"/>
      <c r="M14" s="72" t="s">
        <v>229</v>
      </c>
      <c r="N14" s="78"/>
      <c r="O14" s="72" t="s">
        <v>230</v>
      </c>
      <c r="P14" s="78"/>
      <c r="Q14" s="72" t="s">
        <v>231</v>
      </c>
      <c r="R14" s="78"/>
      <c r="S14" s="72" t="s">
        <v>232</v>
      </c>
      <c r="T14" s="78"/>
      <c r="V14" s="78"/>
      <c r="W14" s="79"/>
      <c r="X14" s="78"/>
      <c r="Y14" s="72" t="s">
        <v>233</v>
      </c>
      <c r="Z14" s="78"/>
      <c r="AA14" s="72" t="s">
        <v>234</v>
      </c>
      <c r="AB14" s="78"/>
      <c r="AC14" s="72" t="s">
        <v>235</v>
      </c>
      <c r="AD14" s="78"/>
      <c r="AE14" s="72" t="s">
        <v>54</v>
      </c>
    </row>
    <row r="15" ht="18.75" customHeight="1">
      <c r="B15" s="72" t="s">
        <v>55</v>
      </c>
      <c r="C15" s="72" t="s">
        <v>56</v>
      </c>
      <c r="D15" s="72" t="s">
        <v>57</v>
      </c>
      <c r="E15" s="72" t="s">
        <v>58</v>
      </c>
      <c r="F15" s="72" t="s">
        <v>59</v>
      </c>
      <c r="G15" s="72" t="s">
        <v>60</v>
      </c>
      <c r="H15" s="72" t="s">
        <v>236</v>
      </c>
      <c r="I15" s="72" t="s">
        <v>237</v>
      </c>
      <c r="J15" s="72" t="s">
        <v>238</v>
      </c>
      <c r="K15" s="72" t="s">
        <v>239</v>
      </c>
      <c r="L15" s="78"/>
      <c r="M15" s="72" t="s">
        <v>240</v>
      </c>
      <c r="N15" s="78"/>
      <c r="O15" s="72" t="s">
        <v>241</v>
      </c>
      <c r="P15" s="78"/>
      <c r="Q15" s="72" t="s">
        <v>242</v>
      </c>
      <c r="R15" s="78"/>
      <c r="S15" s="72" t="s">
        <v>243</v>
      </c>
      <c r="T15" s="78"/>
      <c r="V15" s="78"/>
      <c r="W15" s="79"/>
      <c r="X15" s="78"/>
      <c r="Y15" s="72" t="s">
        <v>244</v>
      </c>
      <c r="Z15" s="78"/>
      <c r="AA15" s="72" t="s">
        <v>245</v>
      </c>
      <c r="AB15" s="78"/>
      <c r="AC15" s="72" t="s">
        <v>246</v>
      </c>
      <c r="AD15" s="78"/>
      <c r="AE15" s="72" t="s">
        <v>83</v>
      </c>
    </row>
    <row r="16" ht="18.75" customHeight="1">
      <c r="B16" s="72" t="s">
        <v>84</v>
      </c>
      <c r="C16" s="72" t="s">
        <v>85</v>
      </c>
      <c r="D16" s="72" t="s">
        <v>86</v>
      </c>
      <c r="E16" s="72" t="s">
        <v>87</v>
      </c>
      <c r="F16" s="72" t="s">
        <v>88</v>
      </c>
      <c r="G16" s="72" t="s">
        <v>89</v>
      </c>
      <c r="H16" s="72" t="s">
        <v>247</v>
      </c>
      <c r="I16" s="72" t="s">
        <v>248</v>
      </c>
      <c r="J16" s="72" t="s">
        <v>249</v>
      </c>
      <c r="K16" s="72" t="s">
        <v>250</v>
      </c>
      <c r="L16" s="78"/>
      <c r="M16" s="72" t="s">
        <v>251</v>
      </c>
      <c r="N16" s="78"/>
      <c r="O16" s="72" t="s">
        <v>252</v>
      </c>
      <c r="P16" s="78"/>
      <c r="Q16" s="72" t="s">
        <v>253</v>
      </c>
      <c r="R16" s="78"/>
      <c r="S16" s="72" t="s">
        <v>254</v>
      </c>
      <c r="T16" s="78"/>
      <c r="V16" s="78"/>
      <c r="W16" s="79"/>
      <c r="X16" s="78"/>
      <c r="Y16" s="72" t="s">
        <v>255</v>
      </c>
      <c r="Z16" s="78"/>
      <c r="AA16" s="72" t="s">
        <v>256</v>
      </c>
      <c r="AB16" s="78"/>
      <c r="AC16" s="72" t="s">
        <v>257</v>
      </c>
      <c r="AD16" s="78"/>
      <c r="AE16" s="72" t="s">
        <v>112</v>
      </c>
    </row>
    <row r="17" ht="18.75" customHeight="1">
      <c r="B17" s="72" t="s">
        <v>113</v>
      </c>
      <c r="C17" s="72" t="s">
        <v>114</v>
      </c>
      <c r="D17" s="72" t="s">
        <v>115</v>
      </c>
      <c r="E17" s="72" t="s">
        <v>116</v>
      </c>
      <c r="F17" s="72" t="s">
        <v>117</v>
      </c>
      <c r="G17" s="72" t="s">
        <v>118</v>
      </c>
      <c r="H17" s="72" t="s">
        <v>258</v>
      </c>
      <c r="I17" s="72" t="s">
        <v>259</v>
      </c>
      <c r="J17" s="72" t="s">
        <v>260</v>
      </c>
      <c r="K17" s="72" t="s">
        <v>261</v>
      </c>
      <c r="L17" s="78"/>
      <c r="M17" s="72" t="s">
        <v>262</v>
      </c>
      <c r="N17" s="78"/>
      <c r="O17" s="72" t="s">
        <v>263</v>
      </c>
      <c r="P17" s="78"/>
      <c r="Q17" s="72" t="s">
        <v>264</v>
      </c>
      <c r="R17" s="78"/>
      <c r="S17" s="72" t="s">
        <v>265</v>
      </c>
      <c r="T17" s="78"/>
      <c r="V17" s="78"/>
      <c r="W17" s="79"/>
      <c r="X17" s="78"/>
      <c r="Y17" s="72" t="s">
        <v>266</v>
      </c>
      <c r="Z17" s="78"/>
      <c r="AA17" s="72" t="s">
        <v>267</v>
      </c>
      <c r="AB17" s="78"/>
      <c r="AC17" s="72" t="s">
        <v>268</v>
      </c>
      <c r="AD17" s="78"/>
      <c r="AE17" s="72" t="s">
        <v>141</v>
      </c>
    </row>
    <row r="18" ht="18.75" customHeight="1">
      <c r="B18" s="72" t="s">
        <v>142</v>
      </c>
      <c r="C18" s="72" t="s">
        <v>143</v>
      </c>
      <c r="D18" s="72" t="s">
        <v>144</v>
      </c>
      <c r="E18" s="72" t="s">
        <v>145</v>
      </c>
      <c r="F18" s="72" t="s">
        <v>146</v>
      </c>
      <c r="G18" s="72" t="s">
        <v>147</v>
      </c>
      <c r="H18" s="72" t="s">
        <v>269</v>
      </c>
      <c r="I18" s="72" t="s">
        <v>270</v>
      </c>
      <c r="J18" s="72" t="s">
        <v>271</v>
      </c>
      <c r="K18" s="72" t="s">
        <v>272</v>
      </c>
      <c r="L18" s="78"/>
      <c r="M18" s="72" t="s">
        <v>273</v>
      </c>
      <c r="N18" s="78"/>
      <c r="O18" s="72" t="s">
        <v>274</v>
      </c>
      <c r="P18" s="78"/>
      <c r="Q18" s="72" t="s">
        <v>275</v>
      </c>
      <c r="R18" s="78"/>
      <c r="S18" s="72" t="s">
        <v>276</v>
      </c>
      <c r="T18" s="78"/>
      <c r="U18" s="72" t="s">
        <v>277</v>
      </c>
      <c r="V18" s="78"/>
      <c r="W18" s="79"/>
      <c r="X18" s="78"/>
      <c r="Y18" s="72" t="s">
        <v>278</v>
      </c>
      <c r="Z18" s="78"/>
      <c r="AA18" s="72" t="s">
        <v>279</v>
      </c>
      <c r="AB18" s="78"/>
      <c r="AC18" s="72" t="s">
        <v>280</v>
      </c>
      <c r="AD18" s="78"/>
      <c r="AE18" s="72" t="s">
        <v>170</v>
      </c>
    </row>
    <row r="19" ht="18.75" customHeight="1">
      <c r="B19" s="76" t="str">
        <f t="shared" ref="B19:K19" si="3">IF($A$14=1,B14,IF($A$14=2,B15,IF($A$14=3,B16,IF($A$14=4,B17,IF($A$14=5,B18,"-")))))</f>
        <v>30c5</v>
      </c>
      <c r="C19" s="76" t="str">
        <f t="shared" si="3"/>
        <v>29c5</v>
      </c>
      <c r="D19" s="76" t="str">
        <f t="shared" si="3"/>
        <v>28c5</v>
      </c>
      <c r="E19" s="76" t="str">
        <f t="shared" si="3"/>
        <v>27c5</v>
      </c>
      <c r="F19" s="76" t="str">
        <f t="shared" si="3"/>
        <v>26c5</v>
      </c>
      <c r="G19" s="76" t="str">
        <f t="shared" si="3"/>
        <v>25c5</v>
      </c>
      <c r="H19" s="76" t="str">
        <f t="shared" si="3"/>
        <v>フォニックスの歌は完ぺきでした！Amazing☆</v>
      </c>
      <c r="I19" s="76" t="str">
        <f t="shared" si="3"/>
        <v>野菜についての質問・単語はばっちり！Amazing☆</v>
      </c>
      <c r="J19" s="76" t="str">
        <f t="shared" si="3"/>
        <v>持ち物についての質問(Do you wamt__?)・単語はばっちり！Amazing☆</v>
      </c>
      <c r="K19" s="76" t="str">
        <f t="shared" si="3"/>
        <v>反対言葉についての質問・単語はばっちり！Amazing☆</v>
      </c>
      <c r="L19" s="78"/>
      <c r="M19" s="76" t="str">
        <f>IF($A$14=1,M14,IF($A$14=2,M15,IF($A$14=3,M16,IF($A$14=4,M17,IF($A$14=5,M18,"-")))))</f>
        <v>スポーツについての質問(Can you__?)・単語はばっちり！Amazing☆</v>
      </c>
      <c r="N19" s="78"/>
      <c r="O19" s="76" t="str">
        <f>IF($A$14=1,O14,IF($A$14=2,O15,IF($A$14=3,O16,IF($A$14=4,O17,IF($A$14=5,O18,"-")))))</f>
        <v>季節についての質問・単語はばっちり！Amazing☆</v>
      </c>
      <c r="P19" s="78"/>
      <c r="Q19" s="76" t="str">
        <f>IF($A$14=1,Q14,IF($A$14=2,Q15,IF($A$14=3,Q16,IF($A$14=4,Q17,IF($A$14=5,Q18,"-")))))</f>
        <v>自分の出身について先生の質問に文で完ぺきに答えられます！Amazing☆</v>
      </c>
      <c r="R19" s="78"/>
      <c r="S19" s="76" t="str">
        <f>IF($A$14=1,S14,IF($A$14=2,S15,IF($A$14=3,S16,IF($A$14=4,S17,IF($A$14=5,S18,"-")))))</f>
        <v>症状についての質問・単語はばっちり！Amazing☆</v>
      </c>
      <c r="T19" s="78"/>
      <c r="U19" s="76" t="str">
        <f>IF($A$14=1,U14,IF($A$14=2,U15,IF($A$14=3,U16,IF($A$14=4,U17,IF($A$14=5,U18,"-")))))</f>
        <v>動詞についての質問②(Did you-?)もばっちり！Amazing☆</v>
      </c>
      <c r="V19" s="78"/>
      <c r="W19" s="79"/>
      <c r="X19" s="78"/>
      <c r="Y19" s="76" t="str">
        <f>IF($A$14=1,Y14,IF($A$14=2,Y15,IF($A$14=3,Y16,IF($A$14=4,Y17,IF($A$14=5,Y18,"-")))))</f>
        <v>関連語・表現を入れて作文するのもばっちり！Amazing☆</v>
      </c>
      <c r="Z19" s="78"/>
      <c r="AA19" s="76" t="str">
        <f>IF($A$14=1,AA14,IF($A$14=2,AA15,IF($A$14=3,AA16,IF($A$14=4,AA17,IF($A$14=5,AA18,"-")))))</f>
        <v>過去形の動詞と質問もばっちり！Amazing☆</v>
      </c>
      <c r="AB19" s="78"/>
      <c r="AC19" s="76" t="str">
        <f>IF($A$14=1,AC14,IF($A$14=2,AC15,IF($A$14=3,AC16,IF($A$14=4,AC17,IF($A$14=5,AC18,"-")))))</f>
        <v>ifを使った質問に理由を添えて答えることができました！Amazing☆</v>
      </c>
      <c r="AD19" s="78"/>
      <c r="AE19" s="76" t="str">
        <f>IF($A$14=1,AE14,IF($A$14=2,AE15,IF($A$14=3,AE16,IF($A$14=4,AE17,IF($A$14=5,AE18,"-")))))</f>
        <v>1c5</v>
      </c>
    </row>
    <row r="20" ht="18.75" customHeight="1">
      <c r="A20" s="73">
        <f>score!F2</f>
        <v>5</v>
      </c>
      <c r="B20" s="72" t="s">
        <v>26</v>
      </c>
      <c r="C20" s="72" t="s">
        <v>27</v>
      </c>
      <c r="D20" s="72" t="s">
        <v>28</v>
      </c>
      <c r="E20" s="72" t="s">
        <v>29</v>
      </c>
      <c r="F20" s="72" t="s">
        <v>30</v>
      </c>
      <c r="G20" s="72" t="s">
        <v>31</v>
      </c>
      <c r="H20" s="72" t="s">
        <v>281</v>
      </c>
      <c r="I20" s="72" t="s">
        <v>282</v>
      </c>
      <c r="J20" s="72" t="s">
        <v>283</v>
      </c>
      <c r="K20" s="72" t="s">
        <v>284</v>
      </c>
      <c r="L20" s="78"/>
      <c r="M20" s="72" t="s">
        <v>285</v>
      </c>
      <c r="N20" s="78"/>
      <c r="O20" s="72" t="s">
        <v>286</v>
      </c>
      <c r="P20" s="78"/>
      <c r="Q20" s="72" t="s">
        <v>287</v>
      </c>
      <c r="R20" s="78"/>
      <c r="S20" s="72" t="s">
        <v>178</v>
      </c>
      <c r="T20" s="78"/>
      <c r="U20" s="72" t="s">
        <v>288</v>
      </c>
      <c r="V20" s="78"/>
      <c r="W20" s="79"/>
      <c r="X20" s="78"/>
      <c r="Y20" s="72" t="s">
        <v>289</v>
      </c>
      <c r="Z20" s="78"/>
      <c r="AA20" s="72" t="s">
        <v>290</v>
      </c>
      <c r="AB20" s="78"/>
      <c r="AC20" s="72" t="s">
        <v>291</v>
      </c>
      <c r="AD20" s="78"/>
      <c r="AE20" s="72" t="s">
        <v>54</v>
      </c>
    </row>
    <row r="21" ht="18.75" customHeight="1">
      <c r="B21" s="72" t="s">
        <v>55</v>
      </c>
      <c r="C21" s="72" t="s">
        <v>56</v>
      </c>
      <c r="D21" s="72" t="s">
        <v>57</v>
      </c>
      <c r="E21" s="72" t="s">
        <v>58</v>
      </c>
      <c r="F21" s="72" t="s">
        <v>59</v>
      </c>
      <c r="G21" s="72" t="s">
        <v>60</v>
      </c>
      <c r="H21" s="72" t="s">
        <v>292</v>
      </c>
      <c r="I21" s="72" t="s">
        <v>293</v>
      </c>
      <c r="J21" s="72" t="s">
        <v>294</v>
      </c>
      <c r="K21" s="72" t="s">
        <v>295</v>
      </c>
      <c r="L21" s="78"/>
      <c r="M21" s="72" t="s">
        <v>296</v>
      </c>
      <c r="N21" s="78"/>
      <c r="O21" s="72" t="s">
        <v>297</v>
      </c>
      <c r="P21" s="78"/>
      <c r="Q21" s="72" t="s">
        <v>298</v>
      </c>
      <c r="R21" s="78"/>
      <c r="S21" s="72" t="s">
        <v>189</v>
      </c>
      <c r="T21" s="78"/>
      <c r="U21" s="72" t="s">
        <v>299</v>
      </c>
      <c r="V21" s="78"/>
      <c r="W21" s="79"/>
      <c r="X21" s="78"/>
      <c r="Y21" s="72" t="s">
        <v>300</v>
      </c>
      <c r="Z21" s="78"/>
      <c r="AA21" s="72" t="s">
        <v>301</v>
      </c>
      <c r="AB21" s="78"/>
      <c r="AC21" s="72" t="s">
        <v>302</v>
      </c>
      <c r="AD21" s="78"/>
      <c r="AE21" s="72" t="s">
        <v>83</v>
      </c>
    </row>
    <row r="22" ht="18.75" customHeight="1">
      <c r="B22" s="72" t="s">
        <v>84</v>
      </c>
      <c r="C22" s="72" t="s">
        <v>85</v>
      </c>
      <c r="D22" s="72" t="s">
        <v>86</v>
      </c>
      <c r="E22" s="72" t="s">
        <v>87</v>
      </c>
      <c r="F22" s="72" t="s">
        <v>88</v>
      </c>
      <c r="G22" s="72" t="s">
        <v>89</v>
      </c>
      <c r="H22" s="72" t="s">
        <v>303</v>
      </c>
      <c r="I22" s="72" t="s">
        <v>304</v>
      </c>
      <c r="J22" s="72" t="s">
        <v>305</v>
      </c>
      <c r="K22" s="72" t="s">
        <v>306</v>
      </c>
      <c r="L22" s="78"/>
      <c r="M22" s="72" t="s">
        <v>307</v>
      </c>
      <c r="N22" s="78"/>
      <c r="O22" s="72" t="s">
        <v>308</v>
      </c>
      <c r="P22" s="78"/>
      <c r="Q22" s="72" t="s">
        <v>309</v>
      </c>
      <c r="R22" s="78"/>
      <c r="S22" s="72" t="s">
        <v>200</v>
      </c>
      <c r="T22" s="78"/>
      <c r="U22" s="72" t="s">
        <v>310</v>
      </c>
      <c r="V22" s="78"/>
      <c r="W22" s="79"/>
      <c r="X22" s="78"/>
      <c r="Y22" s="72" t="s">
        <v>311</v>
      </c>
      <c r="Z22" s="78"/>
      <c r="AA22" s="72" t="s">
        <v>312</v>
      </c>
      <c r="AB22" s="78"/>
      <c r="AC22" s="72" t="s">
        <v>313</v>
      </c>
      <c r="AD22" s="78"/>
      <c r="AE22" s="72" t="s">
        <v>112</v>
      </c>
    </row>
    <row r="23" ht="18.75" customHeight="1">
      <c r="B23" s="72" t="s">
        <v>113</v>
      </c>
      <c r="C23" s="72" t="s">
        <v>114</v>
      </c>
      <c r="D23" s="72" t="s">
        <v>115</v>
      </c>
      <c r="E23" s="72" t="s">
        <v>116</v>
      </c>
      <c r="F23" s="72" t="s">
        <v>117</v>
      </c>
      <c r="G23" s="72" t="s">
        <v>118</v>
      </c>
      <c r="H23" s="72" t="s">
        <v>314</v>
      </c>
      <c r="I23" s="72" t="s">
        <v>315</v>
      </c>
      <c r="J23" s="72" t="s">
        <v>316</v>
      </c>
      <c r="K23" s="72" t="s">
        <v>317</v>
      </c>
      <c r="L23" s="78"/>
      <c r="M23" s="72" t="s">
        <v>318</v>
      </c>
      <c r="N23" s="78"/>
      <c r="O23" s="72" t="s">
        <v>319</v>
      </c>
      <c r="P23" s="78"/>
      <c r="Q23" s="72" t="s">
        <v>320</v>
      </c>
      <c r="R23" s="78"/>
      <c r="S23" s="72" t="s">
        <v>321</v>
      </c>
      <c r="T23" s="78"/>
      <c r="U23" s="72" t="s">
        <v>322</v>
      </c>
      <c r="V23" s="78"/>
      <c r="W23" s="79"/>
      <c r="X23" s="78"/>
      <c r="Y23" s="72" t="s">
        <v>323</v>
      </c>
      <c r="Z23" s="78"/>
      <c r="AA23" s="72" t="s">
        <v>324</v>
      </c>
      <c r="AB23" s="78"/>
      <c r="AC23" s="72" t="s">
        <v>325</v>
      </c>
      <c r="AD23" s="78"/>
      <c r="AE23" s="72" t="s">
        <v>141</v>
      </c>
    </row>
    <row r="24" ht="18.75" customHeight="1">
      <c r="B24" s="72" t="s">
        <v>142</v>
      </c>
      <c r="C24" s="72" t="s">
        <v>143</v>
      </c>
      <c r="D24" s="72" t="s">
        <v>144</v>
      </c>
      <c r="E24" s="72" t="s">
        <v>145</v>
      </c>
      <c r="F24" s="72" t="s">
        <v>146</v>
      </c>
      <c r="G24" s="72" t="s">
        <v>147</v>
      </c>
      <c r="H24" s="72" t="s">
        <v>326</v>
      </c>
      <c r="I24" s="72" t="s">
        <v>327</v>
      </c>
      <c r="J24" s="72" t="s">
        <v>328</v>
      </c>
      <c r="K24" s="72" t="s">
        <v>329</v>
      </c>
      <c r="L24" s="78"/>
      <c r="M24" s="72" t="s">
        <v>330</v>
      </c>
      <c r="N24" s="78"/>
      <c r="O24" s="72" t="s">
        <v>331</v>
      </c>
      <c r="P24" s="78"/>
      <c r="Q24" s="72" t="s">
        <v>332</v>
      </c>
      <c r="R24" s="78"/>
      <c r="S24" s="72" t="s">
        <v>333</v>
      </c>
      <c r="T24" s="78"/>
      <c r="U24" s="72" t="s">
        <v>334</v>
      </c>
      <c r="V24" s="78"/>
      <c r="W24" s="79"/>
      <c r="X24" s="78"/>
      <c r="Y24" s="72" t="s">
        <v>335</v>
      </c>
      <c r="Z24" s="78"/>
      <c r="AA24" s="72" t="s">
        <v>336</v>
      </c>
      <c r="AB24" s="78"/>
      <c r="AC24" s="72" t="s">
        <v>337</v>
      </c>
      <c r="AD24" s="78"/>
      <c r="AE24" s="72" t="s">
        <v>170</v>
      </c>
    </row>
    <row r="25" ht="18.75" customHeight="1">
      <c r="B25" s="76" t="str">
        <f t="shared" ref="B25:K25" si="4">IF($A$20=1,B20,IF($A$20=2,B21,IF($A$20=3,B22,IF($A$20=4,B23,IF($A$20=5,B24,"-")))))</f>
        <v>30c5</v>
      </c>
      <c r="C25" s="76" t="str">
        <f t="shared" si="4"/>
        <v>29c5</v>
      </c>
      <c r="D25" s="76" t="str">
        <f t="shared" si="4"/>
        <v>28c5</v>
      </c>
      <c r="E25" s="76" t="str">
        <f t="shared" si="4"/>
        <v>27c5</v>
      </c>
      <c r="F25" s="76" t="str">
        <f t="shared" si="4"/>
        <v>26c5</v>
      </c>
      <c r="G25" s="76" t="str">
        <f t="shared" si="4"/>
        <v>25c5</v>
      </c>
      <c r="H25" s="76" t="str">
        <f t="shared" si="4"/>
        <v>すべての色を英語で言えました！Brilliant☆</v>
      </c>
      <c r="I25" s="76" t="str">
        <f t="shared" si="4"/>
        <v>おもちゃについての質問・単語はばっちり！Brilliant☆</v>
      </c>
      <c r="J25" s="76" t="str">
        <f t="shared" si="4"/>
        <v>キッチン周りの道具についての質問(Do you need__?)・単語はばっちり！Brilliant☆</v>
      </c>
      <c r="K25" s="76" t="str">
        <f t="shared" si="4"/>
        <v>天気についての質問・単語はばっちり！Brilliant☆</v>
      </c>
      <c r="L25" s="78"/>
      <c r="M25" s="76" t="str">
        <f>IF($A$20=1,M20,IF($A$20=2,M21,IF($A$20=3,M22,IF($A$20=4,M23,IF($A$20=5,M24,"-")))))</f>
        <v>動きを表す単語とそれを使った質問(Can you__?)もばっちり！Brilliant☆</v>
      </c>
      <c r="N25" s="78"/>
      <c r="O25" s="76" t="str">
        <f>IF($A$20=1,O20,IF($A$20=2,O21,IF($A$20=3,O22,IF($A$20=4,O23,IF($A$20=5,O24,"-")))))</f>
        <v>月日についての質問・単語はばっちり！Brilliant☆</v>
      </c>
      <c r="P25" s="78"/>
      <c r="Q25" s="76" t="str">
        <f>IF($A$20=1,Q20,IF($A$20=2,Q21,IF($A$20=3,Q22,IF($A$20=4,Q23,IF($A$20=5,Q24,"-")))))</f>
        <v>各国の象徴的なものの国についての質問・単語はばっちり！Brilliant☆</v>
      </c>
      <c r="R25" s="78"/>
      <c r="S25" s="76" t="str">
        <f>IF($A$20=1,S20,IF($A$20=2,S21,IF($A$20=3,S22,IF($A$20=4,S23,IF($A$20=5,S24,"-")))))</f>
        <v>動詞の入った質問・単語はばっちり！Brilliant☆</v>
      </c>
      <c r="T25" s="78"/>
      <c r="U25" s="76" t="str">
        <f>IF($A$20=1,U20,IF($A$20=2,U21,IF($A$20=3,U22,IF($A$20=4,U23,IF($A$20=5,U24,"-")))))</f>
        <v>趣味についての質問・単語はばっちり！Brilliant☆</v>
      </c>
      <c r="V25" s="78"/>
      <c r="W25" s="79"/>
      <c r="X25" s="78"/>
      <c r="Y25" s="76" t="str">
        <f>IF($A$20=1,Y20,IF($A$20=2,Y21,IF($A$20=3,Y22,IF($A$20=4,Y23,IF($A$20=5,Y24,"-")))))</f>
        <v>比較表現を入れて作文するのもばっちり！Brilliant☆</v>
      </c>
      <c r="Z25" s="78"/>
      <c r="AA25" s="76" t="str">
        <f>IF($A$20=1,AA20,IF($A$20=2,AA21,IF($A$20=3,AA22,IF($A$20=4,AA23,IF($A$20=5,AA24,"-")))))</f>
        <v>現在完了形の動詞と質問①(Have you-?)もばっちり！Brilliant☆</v>
      </c>
      <c r="AB25" s="78"/>
      <c r="AC25" s="76" t="str">
        <f>IF($A$20=1,AC20,IF($A$20=2,AC21,IF($A$20=3,AC22,IF($A$20=4,AC23,IF($A$20=5,AC24,"-")))))</f>
        <v>ifを使った質問②に理由を添えて答えることができました！Brilliant☆</v>
      </c>
      <c r="AD25" s="78"/>
      <c r="AE25" s="76" t="str">
        <f>IF($A$20=1,AE20,IF($A$20=2,AE21,IF($A$20=3,AE22,IF($A$20=4,AE23,IF($A$20=5,AE24,"-")))))</f>
        <v>1c5</v>
      </c>
    </row>
    <row r="26" ht="18.75" customHeight="1">
      <c r="A26" s="73">
        <f>score!G2</f>
        <v>5</v>
      </c>
      <c r="B26" s="72" t="s">
        <v>26</v>
      </c>
      <c r="C26" s="72" t="s">
        <v>27</v>
      </c>
      <c r="D26" s="72" t="s">
        <v>28</v>
      </c>
      <c r="E26" s="72" t="s">
        <v>29</v>
      </c>
      <c r="F26" s="72" t="s">
        <v>30</v>
      </c>
      <c r="G26" s="72" t="s">
        <v>31</v>
      </c>
      <c r="H26" s="72" t="s">
        <v>338</v>
      </c>
      <c r="I26" s="72" t="s">
        <v>339</v>
      </c>
      <c r="K26" s="72" t="s">
        <v>340</v>
      </c>
      <c r="L26" s="78"/>
      <c r="N26" s="78"/>
      <c r="O26" s="72" t="s">
        <v>341</v>
      </c>
      <c r="P26" s="78"/>
      <c r="Q26" s="72" t="s">
        <v>342</v>
      </c>
      <c r="R26" s="78"/>
      <c r="S26" s="72" t="s">
        <v>343</v>
      </c>
      <c r="T26" s="78"/>
      <c r="U26" s="72" t="s">
        <v>179</v>
      </c>
      <c r="V26" s="78"/>
      <c r="W26" s="79"/>
      <c r="X26" s="78"/>
      <c r="Y26" s="72" t="s">
        <v>344</v>
      </c>
      <c r="Z26" s="78"/>
      <c r="AB26" s="78"/>
      <c r="AC26" s="72" t="s">
        <v>345</v>
      </c>
      <c r="AD26" s="78"/>
      <c r="AE26" s="72" t="s">
        <v>54</v>
      </c>
    </row>
    <row r="27" ht="18.75" customHeight="1">
      <c r="B27" s="72" t="s">
        <v>55</v>
      </c>
      <c r="C27" s="72" t="s">
        <v>56</v>
      </c>
      <c r="D27" s="72" t="s">
        <v>57</v>
      </c>
      <c r="E27" s="72" t="s">
        <v>58</v>
      </c>
      <c r="F27" s="72" t="s">
        <v>59</v>
      </c>
      <c r="G27" s="72" t="s">
        <v>60</v>
      </c>
      <c r="H27" s="72" t="s">
        <v>346</v>
      </c>
      <c r="I27" s="72" t="s">
        <v>347</v>
      </c>
      <c r="K27" s="72" t="s">
        <v>348</v>
      </c>
      <c r="L27" s="78"/>
      <c r="N27" s="78"/>
      <c r="O27" s="72" t="s">
        <v>349</v>
      </c>
      <c r="P27" s="78"/>
      <c r="Q27" s="72" t="s">
        <v>350</v>
      </c>
      <c r="R27" s="78"/>
      <c r="S27" s="72" t="s">
        <v>351</v>
      </c>
      <c r="T27" s="78"/>
      <c r="U27" s="72" t="s">
        <v>190</v>
      </c>
      <c r="V27" s="78"/>
      <c r="W27" s="79"/>
      <c r="X27" s="78"/>
      <c r="Y27" s="72" t="s">
        <v>352</v>
      </c>
      <c r="Z27" s="78"/>
      <c r="AB27" s="78"/>
      <c r="AC27" s="72" t="s">
        <v>353</v>
      </c>
      <c r="AD27" s="78"/>
      <c r="AE27" s="72" t="s">
        <v>83</v>
      </c>
    </row>
    <row r="28" ht="18.75" customHeight="1">
      <c r="B28" s="72" t="s">
        <v>84</v>
      </c>
      <c r="C28" s="72" t="s">
        <v>85</v>
      </c>
      <c r="D28" s="72" t="s">
        <v>86</v>
      </c>
      <c r="E28" s="72" t="s">
        <v>87</v>
      </c>
      <c r="F28" s="72" t="s">
        <v>88</v>
      </c>
      <c r="G28" s="72" t="s">
        <v>89</v>
      </c>
      <c r="H28" s="72" t="s">
        <v>354</v>
      </c>
      <c r="I28" s="72" t="s">
        <v>355</v>
      </c>
      <c r="K28" s="72" t="s">
        <v>356</v>
      </c>
      <c r="L28" s="78"/>
      <c r="N28" s="78"/>
      <c r="O28" s="72" t="s">
        <v>357</v>
      </c>
      <c r="P28" s="78"/>
      <c r="Q28" s="72" t="s">
        <v>358</v>
      </c>
      <c r="R28" s="78"/>
      <c r="S28" s="72" t="s">
        <v>359</v>
      </c>
      <c r="T28" s="78"/>
      <c r="U28" s="72" t="s">
        <v>201</v>
      </c>
      <c r="V28" s="78"/>
      <c r="W28" s="79"/>
      <c r="X28" s="78"/>
      <c r="Y28" s="72" t="s">
        <v>360</v>
      </c>
      <c r="Z28" s="78"/>
      <c r="AB28" s="78"/>
      <c r="AC28" s="72" t="s">
        <v>361</v>
      </c>
      <c r="AD28" s="78"/>
      <c r="AE28" s="72" t="s">
        <v>112</v>
      </c>
    </row>
    <row r="29" ht="18.75" customHeight="1">
      <c r="B29" s="72" t="s">
        <v>113</v>
      </c>
      <c r="C29" s="72" t="s">
        <v>114</v>
      </c>
      <c r="D29" s="72" t="s">
        <v>115</v>
      </c>
      <c r="E29" s="72" t="s">
        <v>116</v>
      </c>
      <c r="F29" s="72" t="s">
        <v>117</v>
      </c>
      <c r="G29" s="72" t="s">
        <v>118</v>
      </c>
      <c r="H29" s="72" t="s">
        <v>362</v>
      </c>
      <c r="I29" s="72" t="s">
        <v>363</v>
      </c>
      <c r="J29" s="72" t="s">
        <v>364</v>
      </c>
      <c r="K29" s="72" t="s">
        <v>365</v>
      </c>
      <c r="L29" s="78"/>
      <c r="M29" s="72" t="s">
        <v>366</v>
      </c>
      <c r="N29" s="78"/>
      <c r="O29" s="72" t="s">
        <v>367</v>
      </c>
      <c r="P29" s="78"/>
      <c r="Q29" s="72" t="s">
        <v>368</v>
      </c>
      <c r="R29" s="78"/>
      <c r="S29" s="72" t="s">
        <v>369</v>
      </c>
      <c r="T29" s="78"/>
      <c r="U29" s="72" t="s">
        <v>370</v>
      </c>
      <c r="V29" s="78"/>
      <c r="W29" s="79"/>
      <c r="X29" s="78"/>
      <c r="Y29" s="72" t="s">
        <v>371</v>
      </c>
      <c r="Z29" s="78"/>
      <c r="AB29" s="78"/>
      <c r="AC29" s="72" t="s">
        <v>372</v>
      </c>
      <c r="AD29" s="78"/>
      <c r="AE29" s="72" t="s">
        <v>141</v>
      </c>
    </row>
    <row r="30" ht="18.75" customHeight="1">
      <c r="B30" s="72" t="s">
        <v>142</v>
      </c>
      <c r="C30" s="72" t="s">
        <v>143</v>
      </c>
      <c r="D30" s="72" t="s">
        <v>144</v>
      </c>
      <c r="E30" s="72" t="s">
        <v>145</v>
      </c>
      <c r="F30" s="72" t="s">
        <v>146</v>
      </c>
      <c r="G30" s="72" t="s">
        <v>147</v>
      </c>
      <c r="H30" s="72" t="s">
        <v>373</v>
      </c>
      <c r="I30" s="72" t="s">
        <v>374</v>
      </c>
      <c r="J30" s="72" t="s">
        <v>375</v>
      </c>
      <c r="K30" s="72" t="s">
        <v>376</v>
      </c>
      <c r="L30" s="78"/>
      <c r="M30" s="72" t="s">
        <v>377</v>
      </c>
      <c r="N30" s="78"/>
      <c r="O30" s="72" t="s">
        <v>378</v>
      </c>
      <c r="P30" s="78"/>
      <c r="Q30" s="72" t="s">
        <v>379</v>
      </c>
      <c r="R30" s="78"/>
      <c r="S30" s="72" t="s">
        <v>380</v>
      </c>
      <c r="T30" s="78"/>
      <c r="U30" s="72" t="s">
        <v>381</v>
      </c>
      <c r="V30" s="78"/>
      <c r="W30" s="79"/>
      <c r="X30" s="78"/>
      <c r="Y30" s="72" t="s">
        <v>382</v>
      </c>
      <c r="Z30" s="78"/>
      <c r="AA30" s="72" t="s">
        <v>383</v>
      </c>
      <c r="AB30" s="78"/>
      <c r="AC30" s="72" t="s">
        <v>384</v>
      </c>
      <c r="AD30" s="78"/>
      <c r="AE30" s="72" t="s">
        <v>170</v>
      </c>
    </row>
    <row r="31" ht="18.75" customHeight="1">
      <c r="B31" s="76" t="str">
        <f t="shared" ref="B31:K31" si="5">IF($A$26=1,B26,IF($A$26=2,B27,IF($A$26=3,B28,IF($A$26=4,B29,IF($A$26=5,B30,"-")))))</f>
        <v>30c5</v>
      </c>
      <c r="C31" s="76" t="str">
        <f t="shared" si="5"/>
        <v>29c5</v>
      </c>
      <c r="D31" s="76" t="str">
        <f t="shared" si="5"/>
        <v>28c5</v>
      </c>
      <c r="E31" s="76" t="str">
        <f t="shared" si="5"/>
        <v>27c5</v>
      </c>
      <c r="F31" s="76" t="str">
        <f t="shared" si="5"/>
        <v>26c5</v>
      </c>
      <c r="G31" s="76" t="str">
        <f t="shared" si="5"/>
        <v>25c5</v>
      </c>
      <c r="H31" s="76" t="str">
        <f t="shared" si="5"/>
        <v>すべての乗り物を英語で言えました！Awesome☆</v>
      </c>
      <c r="I31" s="76" t="str">
        <f t="shared" si="5"/>
        <v>お花を使ったHow manyの質問にもばっちり答えられました！Awesome☆</v>
      </c>
      <c r="J31" s="76" t="str">
        <f t="shared" si="5"/>
        <v>さらに"What can you want?"に対して、"I want__."と文で答えることができました！Awesome☆</v>
      </c>
      <c r="K31" s="76" t="str">
        <f t="shared" si="5"/>
        <v>衣類についての質問・単語はばっちり！Awesome☆</v>
      </c>
      <c r="L31" s="78"/>
      <c r="M31" s="76" t="str">
        <f>IF($A$26=1,M26,IF($A$26=2,M27,IF($A$26=3,M28,IF($A$26=4,M29,IF($A$26=5,M30,"-")))))</f>
        <v>さらに"What can you do?"に対して、"I can__."と文で答えることができました！Awesome☆</v>
      </c>
      <c r="N31" s="78"/>
      <c r="O31" s="76" t="str">
        <f>IF($A$26=1,O26,IF($A$26=2,O27,IF($A$26=3,O28,IF($A$26=4,O29,IF($A$26=5,O30,"-")))))</f>
        <v>年間行事についての質問・単語はばっちり！Awesome☆</v>
      </c>
      <c r="P31" s="78"/>
      <c r="Q31" s="76" t="str">
        <f>IF($A$26=1,Q26,IF($A$26=2,Q27,IF($A$26=3,Q28,IF($A$26=4,Q29,IF($A$26=5,Q30,"-")))))</f>
        <v>各国の有名なものの国についての質問・単語はばっちり！Awesome☆</v>
      </c>
      <c r="R31" s="78"/>
      <c r="S31" s="76" t="str">
        <f>IF($A$26=1,S26,IF($A$26=2,S27,IF($A$26=3,S28,IF($A$26=4,S29,IF($A$26=5,S30,"-")))))</f>
        <v>関連語の入った質問・単語はばっちり！Awesome☆</v>
      </c>
      <c r="T31" s="78"/>
      <c r="U31" s="76" t="str">
        <f>IF($A$26=1,U26,IF($A$26=2,U27,IF($A$26=3,U28,IF($A$26=4,U29,IF($A$26=5,U30,"-")))))</f>
        <v>形容詞の入った質問・単語はばっちり！Awesome☆</v>
      </c>
      <c r="V31" s="78"/>
      <c r="W31" s="79"/>
      <c r="X31" s="78"/>
      <c r="Y31" s="76" t="str">
        <f>IF($A$26=1,Y26,IF($A$26=2,Y27,IF($A$26=3,Y28,IF($A$26=4,Y29,IF($A$26=5,Y30,"-")))))</f>
        <v>最上級を入れて作文するのもばっちり！Awesome☆</v>
      </c>
      <c r="Z31" s="78"/>
      <c r="AA31" s="76" t="str">
        <f>IF($A$26=1,AA26,IF($A$26=2,AA27,IF($A$26=3,AA28,IF($A$26=4,AA29,IF($A$26=5,AA30,"-")))))</f>
        <v>現在完了形の動詞と質問②(How long have you-?)もばっちり！Awesome☆</v>
      </c>
      <c r="AB31" s="78"/>
      <c r="AC31" s="76" t="str">
        <f>IF($A$26=1,AC26,IF($A$26=2,AC27,IF($A$26=3,AC28,IF($A$26=4,AC29,IF($A$26=5,AC30,"-")))))</f>
        <v>付加疑問を表す質問を自分でカンペキに作ることができました！Awesome☆</v>
      </c>
      <c r="AD31" s="78"/>
      <c r="AE31" s="76" t="str">
        <f>IF($A$26=1,AE26,IF($A$26=2,AE27,IF($A$26=3,AE28,IF($A$26=4,AE29,IF($A$26=5,AE30,"-")))))</f>
        <v>1c5</v>
      </c>
    </row>
    <row r="32" ht="18.75" customHeight="1">
      <c r="A32" s="73">
        <f>score!H2</f>
        <v>4</v>
      </c>
      <c r="B32" s="72" t="s">
        <v>26</v>
      </c>
      <c r="C32" s="72" t="s">
        <v>27</v>
      </c>
      <c r="D32" s="72" t="s">
        <v>28</v>
      </c>
      <c r="E32" s="72" t="s">
        <v>29</v>
      </c>
      <c r="F32" s="72" t="s">
        <v>30</v>
      </c>
      <c r="G32" s="72" t="s">
        <v>31</v>
      </c>
      <c r="H32" s="72" t="s">
        <v>385</v>
      </c>
      <c r="I32" s="72" t="s">
        <v>386</v>
      </c>
      <c r="K32" s="72" t="s">
        <v>387</v>
      </c>
      <c r="L32" s="78"/>
      <c r="M32" s="72" t="s">
        <v>388</v>
      </c>
      <c r="N32" s="78"/>
      <c r="O32" s="72" t="s">
        <v>389</v>
      </c>
      <c r="P32" s="78"/>
      <c r="Q32" s="72" t="s">
        <v>390</v>
      </c>
      <c r="R32" s="78"/>
      <c r="S32" s="72" t="s">
        <v>391</v>
      </c>
      <c r="T32" s="78"/>
      <c r="U32" s="72" t="s">
        <v>343</v>
      </c>
      <c r="V32" s="78"/>
      <c r="W32" s="79"/>
      <c r="X32" s="78"/>
      <c r="Y32" s="72" t="s">
        <v>392</v>
      </c>
      <c r="Z32" s="78"/>
      <c r="AB32" s="78"/>
      <c r="AC32" s="72" t="s">
        <v>393</v>
      </c>
      <c r="AD32" s="78"/>
      <c r="AE32" s="72" t="s">
        <v>54</v>
      </c>
    </row>
    <row r="33" ht="18.75" customHeight="1">
      <c r="B33" s="72" t="s">
        <v>55</v>
      </c>
      <c r="C33" s="72" t="s">
        <v>56</v>
      </c>
      <c r="D33" s="72" t="s">
        <v>57</v>
      </c>
      <c r="E33" s="72" t="s">
        <v>58</v>
      </c>
      <c r="F33" s="72" t="s">
        <v>59</v>
      </c>
      <c r="G33" s="72" t="s">
        <v>60</v>
      </c>
      <c r="H33" s="72" t="s">
        <v>394</v>
      </c>
      <c r="I33" s="72" t="s">
        <v>395</v>
      </c>
      <c r="K33" s="72" t="s">
        <v>396</v>
      </c>
      <c r="L33" s="78"/>
      <c r="M33" s="72" t="s">
        <v>397</v>
      </c>
      <c r="N33" s="78"/>
      <c r="O33" s="72" t="s">
        <v>398</v>
      </c>
      <c r="P33" s="78"/>
      <c r="Q33" s="72" t="s">
        <v>399</v>
      </c>
      <c r="R33" s="78"/>
      <c r="S33" s="72" t="s">
        <v>400</v>
      </c>
      <c r="T33" s="78"/>
      <c r="U33" s="72" t="s">
        <v>351</v>
      </c>
      <c r="V33" s="78"/>
      <c r="W33" s="79"/>
      <c r="X33" s="78"/>
      <c r="Y33" s="72" t="s">
        <v>401</v>
      </c>
      <c r="Z33" s="78"/>
      <c r="AB33" s="78"/>
      <c r="AC33" s="72" t="s">
        <v>402</v>
      </c>
      <c r="AD33" s="78"/>
      <c r="AE33" s="72" t="s">
        <v>83</v>
      </c>
    </row>
    <row r="34" ht="18.75" customHeight="1">
      <c r="B34" s="72" t="s">
        <v>84</v>
      </c>
      <c r="C34" s="72" t="s">
        <v>85</v>
      </c>
      <c r="D34" s="72" t="s">
        <v>86</v>
      </c>
      <c r="E34" s="72" t="s">
        <v>87</v>
      </c>
      <c r="F34" s="72" t="s">
        <v>88</v>
      </c>
      <c r="G34" s="72" t="s">
        <v>89</v>
      </c>
      <c r="H34" s="72" t="s">
        <v>403</v>
      </c>
      <c r="I34" s="72" t="s">
        <v>404</v>
      </c>
      <c r="K34" s="72" t="s">
        <v>405</v>
      </c>
      <c r="L34" s="78"/>
      <c r="M34" s="72" t="s">
        <v>406</v>
      </c>
      <c r="N34" s="78"/>
      <c r="O34" s="72" t="s">
        <v>407</v>
      </c>
      <c r="P34" s="78"/>
      <c r="Q34" s="72" t="s">
        <v>408</v>
      </c>
      <c r="R34" s="78"/>
      <c r="S34" s="72" t="s">
        <v>409</v>
      </c>
      <c r="T34" s="78"/>
      <c r="U34" s="72" t="s">
        <v>359</v>
      </c>
      <c r="V34" s="78"/>
      <c r="W34" s="79"/>
      <c r="X34" s="78"/>
      <c r="Y34" s="72" t="s">
        <v>410</v>
      </c>
      <c r="Z34" s="78"/>
      <c r="AB34" s="78"/>
      <c r="AC34" s="72" t="s">
        <v>411</v>
      </c>
      <c r="AD34" s="78"/>
      <c r="AE34" s="72" t="s">
        <v>112</v>
      </c>
    </row>
    <row r="35" ht="18.75" customHeight="1">
      <c r="B35" s="72" t="s">
        <v>113</v>
      </c>
      <c r="C35" s="72" t="s">
        <v>114</v>
      </c>
      <c r="D35" s="72" t="s">
        <v>115</v>
      </c>
      <c r="E35" s="72" t="s">
        <v>116</v>
      </c>
      <c r="F35" s="72" t="s">
        <v>117</v>
      </c>
      <c r="G35" s="72" t="s">
        <v>118</v>
      </c>
      <c r="H35" s="72" t="s">
        <v>412</v>
      </c>
      <c r="I35" s="72" t="s">
        <v>413</v>
      </c>
      <c r="J35" s="72" t="s">
        <v>414</v>
      </c>
      <c r="K35" s="72" t="s">
        <v>415</v>
      </c>
      <c r="L35" s="78"/>
      <c r="M35" s="72" t="s">
        <v>416</v>
      </c>
      <c r="N35" s="78"/>
      <c r="O35" s="72" t="s">
        <v>417</v>
      </c>
      <c r="P35" s="78"/>
      <c r="Q35" s="72" t="s">
        <v>418</v>
      </c>
      <c r="R35" s="78"/>
      <c r="S35" s="72" t="s">
        <v>419</v>
      </c>
      <c r="T35" s="78"/>
      <c r="U35" s="72" t="s">
        <v>420</v>
      </c>
      <c r="V35" s="78"/>
      <c r="W35" s="79"/>
      <c r="X35" s="78"/>
      <c r="Y35" s="72" t="s">
        <v>421</v>
      </c>
      <c r="Z35" s="78"/>
      <c r="AB35" s="78"/>
      <c r="AC35" s="72" t="s">
        <v>422</v>
      </c>
      <c r="AD35" s="78"/>
      <c r="AE35" s="72" t="s">
        <v>141</v>
      </c>
    </row>
    <row r="36" ht="18.75" customHeight="1">
      <c r="B36" s="72" t="s">
        <v>142</v>
      </c>
      <c r="C36" s="72" t="s">
        <v>143</v>
      </c>
      <c r="D36" s="72" t="s">
        <v>144</v>
      </c>
      <c r="E36" s="72" t="s">
        <v>145</v>
      </c>
      <c r="F36" s="72" t="s">
        <v>146</v>
      </c>
      <c r="G36" s="72" t="s">
        <v>147</v>
      </c>
      <c r="H36" s="72" t="s">
        <v>423</v>
      </c>
      <c r="I36" s="72" t="s">
        <v>424</v>
      </c>
      <c r="J36" s="72" t="s">
        <v>425</v>
      </c>
      <c r="K36" s="72" t="s">
        <v>426</v>
      </c>
      <c r="L36" s="78"/>
      <c r="M36" s="72" t="s">
        <v>427</v>
      </c>
      <c r="N36" s="78"/>
      <c r="O36" s="72" t="s">
        <v>428</v>
      </c>
      <c r="P36" s="78"/>
      <c r="Q36" s="72" t="s">
        <v>429</v>
      </c>
      <c r="R36" s="78"/>
      <c r="S36" s="72" t="s">
        <v>430</v>
      </c>
      <c r="T36" s="78"/>
      <c r="U36" s="72" t="s">
        <v>431</v>
      </c>
      <c r="V36" s="78"/>
      <c r="W36" s="79"/>
      <c r="X36" s="78"/>
      <c r="Y36" s="72" t="s">
        <v>432</v>
      </c>
      <c r="Z36" s="78"/>
      <c r="AA36" s="72" t="s">
        <v>433</v>
      </c>
      <c r="AB36" s="78"/>
      <c r="AC36" s="72" t="s">
        <v>434</v>
      </c>
      <c r="AD36" s="78"/>
      <c r="AE36" s="72" t="s">
        <v>170</v>
      </c>
    </row>
    <row r="37" ht="18.75" customHeight="1">
      <c r="B37" s="76" t="str">
        <f t="shared" ref="B37:K37" si="6">IF($A$32=1,B32,IF($A$32=2,B33,IF($A$32=3,B34,IF($A$32=4,B35,IF($A$32=5,B36,"-")))))</f>
        <v>30c4</v>
      </c>
      <c r="C37" s="76" t="str">
        <f t="shared" si="6"/>
        <v>29c4</v>
      </c>
      <c r="D37" s="76" t="str">
        <f t="shared" si="6"/>
        <v>28c4</v>
      </c>
      <c r="E37" s="76" t="str">
        <f t="shared" si="6"/>
        <v>27c4</v>
      </c>
      <c r="F37" s="76" t="str">
        <f t="shared" si="6"/>
        <v>26c4</v>
      </c>
      <c r="G37" s="76" t="str">
        <f t="shared" si="6"/>
        <v>25c4</v>
      </c>
      <c r="H37" s="76" t="str">
        <f t="shared" si="6"/>
        <v>ほとんどの虫を英語で言えました！</v>
      </c>
      <c r="I37" s="76" t="str">
        <f t="shared" si="6"/>
        <v>野菜を使ったHow muchの質問に何とか答えることができました。</v>
      </c>
      <c r="J37" s="76" t="str">
        <f t="shared" si="6"/>
        <v>さらに"What can you need?"に対して、単語で答えることができました。</v>
      </c>
      <c r="K37" s="76" t="str">
        <f t="shared" si="6"/>
        <v>ジーンズなどの数え方や服のサイズはばっちり！質問もあと少しでカンペキでした。</v>
      </c>
      <c r="L37" s="78"/>
      <c r="M37" s="76" t="str">
        <f>IF($A$32=1,M32,IF($A$32=2,M33,IF($A$32=3,M34,IF($A$32=4,M35,IF($A$32=5,M36,"-")))))</f>
        <v>家族と性格の単語はばっちり！質問もあと少しでカンペキでした。</v>
      </c>
      <c r="N37" s="78"/>
      <c r="O37" s="76" t="str">
        <f>IF($A$32=1,O32,IF($A$32=2,O33,IF($A$32=3,O34,IF($A$32=4,O35,IF($A$32=5,O36,"-")))))</f>
        <v>食べ物の特徴についての単語はばっちり！質問もあと少しでカンペキでした。</v>
      </c>
      <c r="P37" s="78"/>
      <c r="Q37" s="76" t="str">
        <f>IF($A$32=1,Q32,IF($A$32=2,Q33,IF($A$32=3,Q34,IF($A$32=4,Q35,IF($A$32=5,Q36,"-")))))</f>
        <v>複数形の単語はばっちり！質問もあと少しでカンペキでした。</v>
      </c>
      <c r="R37" s="78"/>
      <c r="S37" s="76" t="str">
        <f>IF($A$32=1,S32,IF($A$32=2,S33,IF($A$32=3,S34,IF($A$32=4,S35,IF($A$32=5,S36,"-")))))</f>
        <v>Doesを使った全ての質問にYes, Noで答えることができました。</v>
      </c>
      <c r="T37" s="78"/>
      <c r="U37" s="76" t="str">
        <f>IF($A$32=1,U32,IF($A$32=2,U33,IF($A$32=3,U34,IF($A$32=4,U35,IF($A$32=5,U36,"-")))))</f>
        <v>関連語の単語はばっちり！Why?の質問もあと少しでカンペキでした。</v>
      </c>
      <c r="V37" s="78"/>
      <c r="W37" s="79"/>
      <c r="X37" s="78"/>
      <c r="Y37" s="76" t="str">
        <f>IF($A$32=1,Y32,IF($A$32=2,Y33,IF($A$32=3,Y34,IF($A$32=4,Y35,IF($A$32=5,Y36,"-")))))</f>
        <v>その他比較表現の入った質問にもいくつか答えることができました！</v>
      </c>
      <c r="Z37" s="78"/>
      <c r="AA37" s="76" t="str">
        <f>IF($A$32=1,AA32,IF($A$32=2,AA33,IF($A$32=3,AA34,IF($A$32=4,AA35,IF($A$32=5,AA36,"-")))))</f>
        <v/>
      </c>
      <c r="AB37" s="78"/>
      <c r="AC37" s="76" t="str">
        <f>IF($A$32=1,AC32,IF($A$32=2,AC33,IF($A$32=3,AC34,IF($A$32=4,AC35,IF($A$32=5,AC36,"-")))))</f>
        <v>間接疑問を表す質問を何とか自分で作ることできました。</v>
      </c>
      <c r="AD37" s="78"/>
      <c r="AE37" s="76" t="str">
        <f>IF($A$32=1,AE32,IF($A$32=2,AE33,IF($A$32=3,AE34,IF($A$32=4,AE35,IF($A$32=5,AE36,"-")))))</f>
        <v>1c4</v>
      </c>
    </row>
    <row r="38" ht="18.75" customHeight="1">
      <c r="A38" s="73">
        <f>score!I2</f>
        <v>4</v>
      </c>
      <c r="B38" s="72" t="s">
        <v>26</v>
      </c>
      <c r="C38" s="72" t="s">
        <v>27</v>
      </c>
      <c r="D38" s="72" t="s">
        <v>28</v>
      </c>
      <c r="E38" s="72" t="s">
        <v>29</v>
      </c>
      <c r="F38" s="72" t="s">
        <v>30</v>
      </c>
      <c r="G38" s="72" t="s">
        <v>31</v>
      </c>
      <c r="H38" s="72" t="s">
        <v>435</v>
      </c>
      <c r="I38" s="72" t="s">
        <v>435</v>
      </c>
      <c r="J38" s="72" t="s">
        <v>435</v>
      </c>
      <c r="K38" s="72" t="s">
        <v>435</v>
      </c>
      <c r="L38" s="78"/>
      <c r="M38" s="72" t="s">
        <v>435</v>
      </c>
      <c r="N38" s="78"/>
      <c r="O38" s="72" t="s">
        <v>435</v>
      </c>
      <c r="P38" s="78"/>
      <c r="Q38" s="72" t="s">
        <v>435</v>
      </c>
      <c r="R38" s="78"/>
      <c r="S38" s="72" t="s">
        <v>435</v>
      </c>
      <c r="T38" s="78"/>
      <c r="U38" s="72" t="s">
        <v>435</v>
      </c>
      <c r="V38" s="78"/>
      <c r="W38" s="79"/>
      <c r="X38" s="78"/>
      <c r="Y38" s="72" t="s">
        <v>435</v>
      </c>
      <c r="Z38" s="78"/>
      <c r="AA38" s="72" t="s">
        <v>435</v>
      </c>
      <c r="AB38" s="78"/>
      <c r="AC38" s="72" t="s">
        <v>435</v>
      </c>
      <c r="AD38" s="78"/>
      <c r="AE38" s="72" t="s">
        <v>54</v>
      </c>
    </row>
    <row r="39" ht="18.75" customHeight="1">
      <c r="B39" s="72" t="s">
        <v>55</v>
      </c>
      <c r="C39" s="72" t="s">
        <v>56</v>
      </c>
      <c r="D39" s="72" t="s">
        <v>57</v>
      </c>
      <c r="E39" s="72" t="s">
        <v>58</v>
      </c>
      <c r="F39" s="72" t="s">
        <v>59</v>
      </c>
      <c r="G39" s="72" t="s">
        <v>60</v>
      </c>
      <c r="H39" s="72" t="s">
        <v>436</v>
      </c>
      <c r="I39" s="72" t="s">
        <v>436</v>
      </c>
      <c r="J39" s="72" t="s">
        <v>436</v>
      </c>
      <c r="K39" s="72" t="s">
        <v>436</v>
      </c>
      <c r="L39" s="78"/>
      <c r="M39" s="72" t="s">
        <v>436</v>
      </c>
      <c r="N39" s="78"/>
      <c r="O39" s="72" t="s">
        <v>436</v>
      </c>
      <c r="P39" s="78"/>
      <c r="Q39" s="72" t="s">
        <v>436</v>
      </c>
      <c r="R39" s="78"/>
      <c r="S39" s="72" t="s">
        <v>436</v>
      </c>
      <c r="T39" s="78"/>
      <c r="U39" s="72" t="s">
        <v>436</v>
      </c>
      <c r="V39" s="78"/>
      <c r="W39" s="79"/>
      <c r="X39" s="78"/>
      <c r="Y39" s="72" t="s">
        <v>436</v>
      </c>
      <c r="Z39" s="78"/>
      <c r="AA39" s="72" t="s">
        <v>436</v>
      </c>
      <c r="AB39" s="78"/>
      <c r="AC39" s="72" t="s">
        <v>436</v>
      </c>
      <c r="AD39" s="78"/>
      <c r="AE39" s="72" t="s">
        <v>83</v>
      </c>
    </row>
    <row r="40" ht="18.75" customHeight="1">
      <c r="B40" s="72" t="s">
        <v>84</v>
      </c>
      <c r="C40" s="72" t="s">
        <v>85</v>
      </c>
      <c r="D40" s="72" t="s">
        <v>86</v>
      </c>
      <c r="E40" s="72" t="s">
        <v>87</v>
      </c>
      <c r="F40" s="72" t="s">
        <v>88</v>
      </c>
      <c r="G40" s="72" t="s">
        <v>89</v>
      </c>
      <c r="H40" s="72" t="s">
        <v>437</v>
      </c>
      <c r="I40" s="72" t="s">
        <v>437</v>
      </c>
      <c r="J40" s="72" t="s">
        <v>437</v>
      </c>
      <c r="K40" s="72" t="s">
        <v>437</v>
      </c>
      <c r="L40" s="78"/>
      <c r="M40" s="72" t="s">
        <v>437</v>
      </c>
      <c r="N40" s="78"/>
      <c r="O40" s="72" t="s">
        <v>437</v>
      </c>
      <c r="P40" s="78"/>
      <c r="Q40" s="72" t="s">
        <v>437</v>
      </c>
      <c r="R40" s="78"/>
      <c r="S40" s="72" t="s">
        <v>437</v>
      </c>
      <c r="T40" s="78"/>
      <c r="U40" s="72" t="s">
        <v>437</v>
      </c>
      <c r="V40" s="78"/>
      <c r="W40" s="79"/>
      <c r="X40" s="78"/>
      <c r="Y40" s="72" t="s">
        <v>437</v>
      </c>
      <c r="Z40" s="78"/>
      <c r="AA40" s="72" t="s">
        <v>437</v>
      </c>
      <c r="AB40" s="78"/>
      <c r="AC40" s="72" t="s">
        <v>437</v>
      </c>
      <c r="AD40" s="78"/>
      <c r="AE40" s="72" t="s">
        <v>112</v>
      </c>
    </row>
    <row r="41" ht="18.75" customHeight="1">
      <c r="B41" s="72" t="s">
        <v>113</v>
      </c>
      <c r="C41" s="72" t="s">
        <v>114</v>
      </c>
      <c r="D41" s="72" t="s">
        <v>115</v>
      </c>
      <c r="E41" s="72" t="s">
        <v>116</v>
      </c>
      <c r="F41" s="72" t="s">
        <v>117</v>
      </c>
      <c r="G41" s="72" t="s">
        <v>118</v>
      </c>
      <c r="H41" s="72" t="s">
        <v>438</v>
      </c>
      <c r="I41" s="72" t="s">
        <v>438</v>
      </c>
      <c r="J41" s="72" t="s">
        <v>438</v>
      </c>
      <c r="K41" s="72" t="s">
        <v>438</v>
      </c>
      <c r="L41" s="78"/>
      <c r="M41" s="72" t="s">
        <v>438</v>
      </c>
      <c r="N41" s="78"/>
      <c r="O41" s="72" t="s">
        <v>438</v>
      </c>
      <c r="P41" s="78"/>
      <c r="Q41" s="72" t="s">
        <v>438</v>
      </c>
      <c r="R41" s="78"/>
      <c r="S41" s="72" t="s">
        <v>438</v>
      </c>
      <c r="T41" s="78"/>
      <c r="U41" s="72" t="s">
        <v>438</v>
      </c>
      <c r="V41" s="78"/>
      <c r="W41" s="79"/>
      <c r="X41" s="78"/>
      <c r="Y41" s="72" t="s">
        <v>438</v>
      </c>
      <c r="Z41" s="78"/>
      <c r="AA41" s="72" t="s">
        <v>438</v>
      </c>
      <c r="AB41" s="78"/>
      <c r="AC41" s="72" t="s">
        <v>438</v>
      </c>
      <c r="AD41" s="78"/>
      <c r="AE41" s="72" t="s">
        <v>141</v>
      </c>
    </row>
    <row r="42" ht="18.75" customHeight="1">
      <c r="B42" s="72" t="s">
        <v>142</v>
      </c>
      <c r="C42" s="72" t="s">
        <v>143</v>
      </c>
      <c r="D42" s="72" t="s">
        <v>144</v>
      </c>
      <c r="E42" s="72" t="s">
        <v>145</v>
      </c>
      <c r="F42" s="72" t="s">
        <v>146</v>
      </c>
      <c r="G42" s="72" t="s">
        <v>147</v>
      </c>
      <c r="H42" s="72" t="s">
        <v>439</v>
      </c>
      <c r="I42" s="72" t="s">
        <v>439</v>
      </c>
      <c r="J42" s="72" t="s">
        <v>439</v>
      </c>
      <c r="K42" s="72" t="s">
        <v>439</v>
      </c>
      <c r="L42" s="78"/>
      <c r="M42" s="72" t="s">
        <v>439</v>
      </c>
      <c r="N42" s="78"/>
      <c r="O42" s="72" t="s">
        <v>439</v>
      </c>
      <c r="P42" s="78"/>
      <c r="Q42" s="72" t="s">
        <v>439</v>
      </c>
      <c r="R42" s="78"/>
      <c r="S42" s="72" t="s">
        <v>439</v>
      </c>
      <c r="T42" s="78"/>
      <c r="U42" s="72" t="s">
        <v>439</v>
      </c>
      <c r="V42" s="78"/>
      <c r="W42" s="79"/>
      <c r="X42" s="78"/>
      <c r="Y42" s="72" t="s">
        <v>439</v>
      </c>
      <c r="Z42" s="78"/>
      <c r="AA42" s="72" t="s">
        <v>439</v>
      </c>
      <c r="AB42" s="78"/>
      <c r="AC42" s="72" t="s">
        <v>439</v>
      </c>
      <c r="AD42" s="78"/>
      <c r="AE42" s="72" t="s">
        <v>170</v>
      </c>
    </row>
    <row r="43" ht="18.75" customHeight="1">
      <c r="B43" s="76" t="str">
        <f t="shared" ref="B43:K43" si="7">IF($A$38=1,B38,IF($A$38=2,B39,IF($A$38=3,B40,IF($A$38=4,B41,IF($A$38=5,B42,"-")))))</f>
        <v>30c4</v>
      </c>
      <c r="C43" s="76" t="str">
        <f t="shared" si="7"/>
        <v>29c4</v>
      </c>
      <c r="D43" s="76" t="str">
        <f t="shared" si="7"/>
        <v>28c4</v>
      </c>
      <c r="E43" s="76" t="str">
        <f t="shared" si="7"/>
        <v>27c4</v>
      </c>
      <c r="F43" s="76" t="str">
        <f t="shared" si="7"/>
        <v>26c4</v>
      </c>
      <c r="G43" s="76" t="str">
        <f t="shared" si="7"/>
        <v>25c4</v>
      </c>
      <c r="H43" s="76" t="str">
        <f t="shared" si="7"/>
        <v>フォニックスの読み書きでは、読みはばっちり！書きはあと少しでカンペキでした。</v>
      </c>
      <c r="I43" s="76" t="str">
        <f t="shared" si="7"/>
        <v>フォニックスの読み書きでは、読みはばっちり！書きはあと少しでカンペキでした。</v>
      </c>
      <c r="J43" s="76" t="str">
        <f t="shared" si="7"/>
        <v>フォニックスの読み書きでは、読みはばっちり！書きはあと少しでカンペキでした。</v>
      </c>
      <c r="K43" s="76" t="str">
        <f t="shared" si="7"/>
        <v>フォニックスの読み書きでは、読みはばっちり！書きはあと少しでカンペキでした。</v>
      </c>
      <c r="L43" s="78"/>
      <c r="M43" s="76" t="str">
        <f>IF($A$38=1,M38,IF($A$38=2,M39,IF($A$38=3,M40,IF($A$38=4,M41,IF($A$38=5,M42,"-")))))</f>
        <v>フォニックスの読み書きでは、読みはばっちり！書きはあと少しでカンペキでした。</v>
      </c>
      <c r="N43" s="78"/>
      <c r="O43" s="76" t="str">
        <f>IF($A$38=1,O38,IF($A$38=2,O39,IF($A$38=3,O40,IF($A$38=4,O41,IF($A$38=5,O42,"-")))))</f>
        <v>フォニックスの読み書きでは、読みはばっちり！書きはあと少しでカンペキでした。</v>
      </c>
      <c r="P43" s="78"/>
      <c r="Q43" s="76" t="str">
        <f>IF($A$38=1,Q38,IF($A$38=2,Q39,IF($A$38=3,Q40,IF($A$38=4,Q41,IF($A$38=5,Q42,"-")))))</f>
        <v>フォニックスの読み書きでは、読みはばっちり！書きはあと少しでカンペキでした。</v>
      </c>
      <c r="R43" s="78"/>
      <c r="S43" s="76" t="str">
        <f>IF($A$38=1,S38,IF($A$38=2,S39,IF($A$38=3,S40,IF($A$38=4,S41,IF($A$38=5,S42,"-")))))</f>
        <v>フォニックスの読み書きでは、読みはばっちり！書きはあと少しでカンペキでした。</v>
      </c>
      <c r="T43" s="78"/>
      <c r="U43" s="76" t="str">
        <f>IF($A$38=1,U38,IF($A$38=2,U39,IF($A$38=3,U40,IF($A$38=4,U41,IF($A$38=5,U42,"-")))))</f>
        <v>フォニックスの読み書きでは、読みはばっちり！書きはあと少しでカンペキでした。</v>
      </c>
      <c r="V43" s="78"/>
      <c r="W43" s="79"/>
      <c r="X43" s="78"/>
      <c r="Y43" s="76" t="str">
        <f>IF($A$38=1,Y38,IF($A$38=2,Y39,IF($A$38=3,Y40,IF($A$38=4,Y41,IF($A$38=5,Y42,"-")))))</f>
        <v>フォニックスの読み書きでは、読みはばっちり！書きはあと少しでカンペキでした。</v>
      </c>
      <c r="Z43" s="78"/>
      <c r="AA43" s="76" t="str">
        <f>IF($A$38=1,AA38,IF($A$38=2,AA39,IF($A$38=3,AA40,IF($A$38=4,AA41,IF($A$38=5,AA42,"-")))))</f>
        <v>フォニックスの読み書きでは、読みはばっちり！書きはあと少しでカンペキでした。</v>
      </c>
      <c r="AB43" s="78"/>
      <c r="AC43" s="76" t="str">
        <f>IF($A$38=1,AC38,IF($A$38=2,AC39,IF($A$38=3,AC40,IF($A$38=4,AC41,IF($A$38=5,AC42,"-")))))</f>
        <v>フォニックスの読み書きでは、読みはばっちり！書きはあと少しでカンペキでした。</v>
      </c>
      <c r="AD43" s="78"/>
      <c r="AE43" s="76" t="str">
        <f>IF($A$38=1,AE38,IF($A$38=2,AE39,IF($A$38=3,AE40,IF($A$38=4,AE41,IF($A$38=5,AE42,"-")))))</f>
        <v>1c4</v>
      </c>
    </row>
    <row r="44" ht="18.75" customHeight="1">
      <c r="A44" s="73">
        <f>score!J2</f>
        <v>5</v>
      </c>
      <c r="B44" s="72" t="s">
        <v>26</v>
      </c>
      <c r="C44" s="72" t="s">
        <v>27</v>
      </c>
      <c r="D44" s="72" t="s">
        <v>28</v>
      </c>
      <c r="E44" s="72" t="s">
        <v>29</v>
      </c>
      <c r="F44" s="72" t="s">
        <v>30</v>
      </c>
      <c r="G44" s="72" t="s">
        <v>31</v>
      </c>
      <c r="H44" s="72" t="s">
        <v>440</v>
      </c>
      <c r="I44" s="72" t="s">
        <v>441</v>
      </c>
      <c r="J44" s="72" t="s">
        <v>442</v>
      </c>
      <c r="K44" s="72" t="s">
        <v>443</v>
      </c>
      <c r="L44" s="78"/>
      <c r="M44" s="72" t="s">
        <v>444</v>
      </c>
      <c r="N44" s="78"/>
      <c r="O44" s="72" t="s">
        <v>445</v>
      </c>
      <c r="P44" s="78"/>
      <c r="Q44" s="72" t="s">
        <v>446</v>
      </c>
      <c r="R44" s="78"/>
      <c r="S44" s="72" t="s">
        <v>447</v>
      </c>
      <c r="T44" s="78"/>
      <c r="U44" s="72" t="s">
        <v>448</v>
      </c>
      <c r="V44" s="78"/>
      <c r="W44" s="79"/>
      <c r="X44" s="78"/>
      <c r="Y44" s="72" t="s">
        <v>449</v>
      </c>
      <c r="Z44" s="78"/>
      <c r="AA44" s="72" t="s">
        <v>450</v>
      </c>
      <c r="AB44" s="78"/>
      <c r="AC44" s="72" t="s">
        <v>451</v>
      </c>
      <c r="AD44" s="78"/>
      <c r="AE44" s="72" t="s">
        <v>54</v>
      </c>
    </row>
    <row r="45" ht="18.75" customHeight="1">
      <c r="B45" s="72" t="s">
        <v>55</v>
      </c>
      <c r="C45" s="72" t="s">
        <v>56</v>
      </c>
      <c r="D45" s="72" t="s">
        <v>57</v>
      </c>
      <c r="E45" s="72" t="s">
        <v>58</v>
      </c>
      <c r="F45" s="72" t="s">
        <v>59</v>
      </c>
      <c r="G45" s="72" t="s">
        <v>60</v>
      </c>
      <c r="H45" s="72" t="s">
        <v>452</v>
      </c>
      <c r="I45" s="72" t="s">
        <v>453</v>
      </c>
      <c r="J45" s="72" t="s">
        <v>454</v>
      </c>
      <c r="K45" s="72" t="s">
        <v>455</v>
      </c>
      <c r="L45" s="78"/>
      <c r="M45" s="72" t="s">
        <v>456</v>
      </c>
      <c r="N45" s="78"/>
      <c r="O45" s="72" t="s">
        <v>457</v>
      </c>
      <c r="P45" s="78"/>
      <c r="Q45" s="72" t="s">
        <v>458</v>
      </c>
      <c r="R45" s="78"/>
      <c r="S45" s="72" t="s">
        <v>459</v>
      </c>
      <c r="T45" s="78"/>
      <c r="U45" s="72" t="s">
        <v>460</v>
      </c>
      <c r="V45" s="78"/>
      <c r="W45" s="79"/>
      <c r="X45" s="78"/>
      <c r="Y45" s="72" t="s">
        <v>461</v>
      </c>
      <c r="Z45" s="78"/>
      <c r="AA45" s="72" t="s">
        <v>462</v>
      </c>
      <c r="AB45" s="78"/>
      <c r="AC45" s="72" t="s">
        <v>463</v>
      </c>
      <c r="AD45" s="78"/>
      <c r="AE45" s="72" t="s">
        <v>83</v>
      </c>
    </row>
    <row r="46" ht="18.75" customHeight="1">
      <c r="B46" s="72" t="s">
        <v>84</v>
      </c>
      <c r="C46" s="72" t="s">
        <v>85</v>
      </c>
      <c r="D46" s="72" t="s">
        <v>86</v>
      </c>
      <c r="E46" s="72" t="s">
        <v>87</v>
      </c>
      <c r="F46" s="72" t="s">
        <v>88</v>
      </c>
      <c r="G46" s="72" t="s">
        <v>89</v>
      </c>
      <c r="H46" s="72" t="s">
        <v>464</v>
      </c>
      <c r="I46" s="72" t="s">
        <v>465</v>
      </c>
      <c r="J46" s="72" t="s">
        <v>466</v>
      </c>
      <c r="K46" s="72" t="s">
        <v>467</v>
      </c>
      <c r="L46" s="78"/>
      <c r="M46" s="72" t="s">
        <v>468</v>
      </c>
      <c r="N46" s="78"/>
      <c r="O46" s="72" t="s">
        <v>469</v>
      </c>
      <c r="P46" s="78"/>
      <c r="Q46" s="72" t="s">
        <v>470</v>
      </c>
      <c r="R46" s="78"/>
      <c r="S46" s="72" t="s">
        <v>471</v>
      </c>
      <c r="T46" s="78"/>
      <c r="U46" s="72" t="s">
        <v>472</v>
      </c>
      <c r="V46" s="78"/>
      <c r="W46" s="79"/>
      <c r="X46" s="78"/>
      <c r="Y46" s="72" t="s">
        <v>473</v>
      </c>
      <c r="Z46" s="78"/>
      <c r="AA46" s="72" t="s">
        <v>474</v>
      </c>
      <c r="AB46" s="78"/>
      <c r="AC46" s="72" t="s">
        <v>475</v>
      </c>
      <c r="AD46" s="78"/>
      <c r="AE46" s="72" t="s">
        <v>112</v>
      </c>
    </row>
    <row r="47" ht="18.75" customHeight="1">
      <c r="B47" s="72" t="s">
        <v>113</v>
      </c>
      <c r="C47" s="72" t="s">
        <v>114</v>
      </c>
      <c r="D47" s="72" t="s">
        <v>115</v>
      </c>
      <c r="E47" s="72" t="s">
        <v>116</v>
      </c>
      <c r="F47" s="72" t="s">
        <v>117</v>
      </c>
      <c r="G47" s="72" t="s">
        <v>118</v>
      </c>
      <c r="H47" s="72" t="s">
        <v>476</v>
      </c>
      <c r="I47" s="72" t="s">
        <v>477</v>
      </c>
      <c r="J47" s="72" t="s">
        <v>478</v>
      </c>
      <c r="K47" s="72" t="s">
        <v>479</v>
      </c>
      <c r="L47" s="78"/>
      <c r="M47" s="72" t="s">
        <v>480</v>
      </c>
      <c r="N47" s="78"/>
      <c r="O47" s="72" t="s">
        <v>481</v>
      </c>
      <c r="P47" s="78"/>
      <c r="Q47" s="72" t="s">
        <v>482</v>
      </c>
      <c r="R47" s="78"/>
      <c r="S47" s="72" t="s">
        <v>483</v>
      </c>
      <c r="T47" s="78"/>
      <c r="U47" s="72" t="s">
        <v>484</v>
      </c>
      <c r="V47" s="78"/>
      <c r="W47" s="79"/>
      <c r="X47" s="78"/>
      <c r="Y47" s="72" t="s">
        <v>485</v>
      </c>
      <c r="Z47" s="78"/>
      <c r="AA47" s="72" t="s">
        <v>486</v>
      </c>
      <c r="AB47" s="78"/>
      <c r="AC47" s="72" t="s">
        <v>487</v>
      </c>
      <c r="AD47" s="78"/>
      <c r="AE47" s="72" t="s">
        <v>141</v>
      </c>
    </row>
    <row r="48" ht="18.75" customHeight="1">
      <c r="B48" s="72" t="s">
        <v>142</v>
      </c>
      <c r="C48" s="72" t="s">
        <v>143</v>
      </c>
      <c r="D48" s="72" t="s">
        <v>144</v>
      </c>
      <c r="E48" s="72" t="s">
        <v>145</v>
      </c>
      <c r="F48" s="72" t="s">
        <v>146</v>
      </c>
      <c r="G48" s="72" t="s">
        <v>147</v>
      </c>
      <c r="H48" s="72" t="s">
        <v>488</v>
      </c>
      <c r="I48" s="72" t="s">
        <v>489</v>
      </c>
      <c r="J48" s="72" t="s">
        <v>490</v>
      </c>
      <c r="K48" s="72" t="s">
        <v>491</v>
      </c>
      <c r="L48" s="78"/>
      <c r="M48" s="72" t="s">
        <v>492</v>
      </c>
      <c r="N48" s="78"/>
      <c r="O48" s="72" t="s">
        <v>493</v>
      </c>
      <c r="P48" s="78"/>
      <c r="Q48" s="72" t="s">
        <v>494</v>
      </c>
      <c r="R48" s="78"/>
      <c r="S48" s="72" t="s">
        <v>495</v>
      </c>
      <c r="T48" s="78"/>
      <c r="U48" s="72" t="s">
        <v>496</v>
      </c>
      <c r="V48" s="78"/>
      <c r="W48" s="79"/>
      <c r="X48" s="78"/>
      <c r="Y48" s="72" t="s">
        <v>497</v>
      </c>
      <c r="Z48" s="78"/>
      <c r="AA48" s="72" t="s">
        <v>498</v>
      </c>
      <c r="AB48" s="78"/>
      <c r="AC48" s="72" t="s">
        <v>499</v>
      </c>
      <c r="AD48" s="78"/>
      <c r="AE48" s="72" t="s">
        <v>170</v>
      </c>
    </row>
    <row r="49" ht="18.75" customHeight="1">
      <c r="B49" s="76" t="str">
        <f t="shared" ref="B49:K49" si="8">IF($A$44=1,B44,IF($A$44=2,B45,IF($A$44=3,B46,IF($A$44=4,B47,IF($A$44=5,B48,"-")))))</f>
        <v>30c5</v>
      </c>
      <c r="C49" s="76" t="str">
        <f t="shared" si="8"/>
        <v>29c5</v>
      </c>
      <c r="D49" s="76" t="str">
        <f t="shared" si="8"/>
        <v>28c5</v>
      </c>
      <c r="E49" s="76" t="str">
        <f t="shared" si="8"/>
        <v>27c5</v>
      </c>
      <c r="F49" s="76" t="str">
        <f t="shared" si="8"/>
        <v>26c5</v>
      </c>
      <c r="G49" s="76" t="str">
        <f t="shared" si="8"/>
        <v>25c5</v>
      </c>
      <c r="H49" s="76" t="str">
        <f t="shared" si="8"/>
        <v>大文字と小文字のアルファベットを書く問題は、カンペキでした。Superb☆</v>
      </c>
      <c r="I49" s="76" t="str">
        <f t="shared" si="8"/>
        <v>大文字小文字のアルファベットをなぞる・書く問題は、自分でアルファベットをたくさん書くことができました。Superb☆</v>
      </c>
      <c r="J49" s="76" t="str">
        <f t="shared" si="8"/>
        <v>自分の名前を英語で書く問題は、カンペキでした。Superb☆</v>
      </c>
      <c r="K49" s="76" t="str">
        <f t="shared" si="8"/>
        <v>天気や服の英単語を書く問題は、カンペキでした。Superb☆</v>
      </c>
      <c r="L49" s="78"/>
      <c r="M49" s="76" t="str">
        <f>IF($A$44=1,M44,IF($A$44=2,M45,IF($A$44=3,M46,IF($A$44=4,M47,IF($A$44=5,M48,"-")))))</f>
        <v>Can you__?に対して自分の意見を書く問題は、カンペキでした。Superb☆</v>
      </c>
      <c r="N49" s="78"/>
      <c r="O49" s="76" t="str">
        <f>IF($A$44=1,O44,IF($A$44=2,O45,IF($A$44=3,O46,IF($A$44=4,O47,IF($A$44=5,O48,"-")))))</f>
        <v>単複に気を付けてフルーツの英単語を書く問題は、カンペキでした。Superb☆</v>
      </c>
      <c r="P49" s="78"/>
      <c r="Q49" s="76" t="str">
        <f>IF($A$44=1,Q44,IF($A$44=2,Q45,IF($A$44=3,Q46,IF($A$44=4,Q47,IF($A$44=5,Q48,"-")))))</f>
        <v>国の名前を英語で書く問題では、カンペキでした。Superb☆</v>
      </c>
      <c r="R49" s="78"/>
      <c r="S49" s="76" t="str">
        <f>IF($A$44=1,S44,IF($A$44=2,S45,IF($A$44=3,S46,IF($A$44=4,S47,IF($A$44=5,S48,"-")))))</f>
        <v>症状をI haveで答えて書く問題では、カンペキでした。Superb☆</v>
      </c>
      <c r="T49" s="78"/>
      <c r="U49" s="76" t="str">
        <f>IF($A$44=1,U44,IF($A$44=2,U45,IF($A$44=3,U46,IF($A$44=4,U47,IF($A$44=5,U48,"-")))))</f>
        <v>自分の好きなこととその理由を書く問題では、カンペキでした。Superb☆</v>
      </c>
      <c r="V49" s="78"/>
      <c r="W49" s="79"/>
      <c r="X49" s="78"/>
      <c r="Y49" s="76" t="str">
        <f>IF($A$44=1,Y44,IF($A$44=2,Y45,IF($A$44=3,Y46,IF($A$44=4,Y47,IF($A$44=5,Y48,"-")))))</f>
        <v>人の年齢や身長を比較して書く問題では、カンペキでした。Superb☆</v>
      </c>
      <c r="Z49" s="78"/>
      <c r="AA49" s="76" t="str">
        <f>IF($A$44=1,AA44,IF($A$44=2,AA45,IF($A$44=3,AA46,IF($A$44=4,AA47,IF($A$44=5,AA48,"-")))))</f>
        <v>行ったことがある場所とその回数を書く問題では、カンペキでした。Superb☆</v>
      </c>
      <c r="AB49" s="78"/>
      <c r="AC49" s="76" t="str">
        <f>IF($A$44=1,AC44,IF($A$44=2,AC45,IF($A$44=3,AC46,IF($A$44=4,AC47,IF($A$44=5,AC48,"-")))))</f>
        <v>仮定法・不可疑問・間接疑問の表現が入った文の空らんをうめる問題では、カンペキでした。Superb☆</v>
      </c>
      <c r="AD49" s="78"/>
      <c r="AE49" s="76" t="str">
        <f>IF($A$44=1,AE44,IF($A$44=2,AE45,IF($A$44=3,AE46,IF($A$44=4,AE47,IF($A$44=5,AE48,"-")))))</f>
        <v>1c5</v>
      </c>
    </row>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8">
    <mergeCell ref="A2:A6"/>
    <mergeCell ref="A8:A12"/>
    <mergeCell ref="A14:A18"/>
    <mergeCell ref="A20:A24"/>
    <mergeCell ref="A26:A30"/>
    <mergeCell ref="A32:A36"/>
    <mergeCell ref="A38:A42"/>
    <mergeCell ref="A44:A48"/>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9" width="25.29"/>
    <col customWidth="1" min="10" max="26" width="8.71"/>
  </cols>
  <sheetData>
    <row r="1" ht="18.75" customHeight="1">
      <c r="A1" s="72">
        <v>30.0</v>
      </c>
      <c r="B1" s="72" t="s">
        <v>500</v>
      </c>
      <c r="C1" s="72" t="s">
        <v>501</v>
      </c>
      <c r="D1" s="72" t="s">
        <v>502</v>
      </c>
      <c r="E1" s="72" t="s">
        <v>503</v>
      </c>
      <c r="F1" s="72" t="s">
        <v>504</v>
      </c>
      <c r="G1" s="72" t="s">
        <v>505</v>
      </c>
      <c r="H1" s="72" t="s">
        <v>506</v>
      </c>
      <c r="I1" s="72" t="s">
        <v>507</v>
      </c>
    </row>
    <row r="2" ht="18.75" customHeight="1">
      <c r="A2" s="72">
        <v>29.0</v>
      </c>
      <c r="B2" s="72" t="s">
        <v>508</v>
      </c>
      <c r="C2" s="72" t="s">
        <v>509</v>
      </c>
      <c r="D2" s="72" t="s">
        <v>510</v>
      </c>
      <c r="E2" s="72" t="s">
        <v>511</v>
      </c>
      <c r="F2" s="72" t="s">
        <v>512</v>
      </c>
      <c r="G2" s="72" t="s">
        <v>513</v>
      </c>
      <c r="H2" s="72" t="s">
        <v>514</v>
      </c>
      <c r="I2" s="72" t="s">
        <v>515</v>
      </c>
    </row>
    <row r="3" ht="18.75" customHeight="1">
      <c r="A3" s="72">
        <v>28.0</v>
      </c>
      <c r="B3" s="72" t="s">
        <v>516</v>
      </c>
      <c r="C3" s="72" t="s">
        <v>517</v>
      </c>
      <c r="D3" s="72" t="s">
        <v>518</v>
      </c>
      <c r="E3" s="72" t="s">
        <v>519</v>
      </c>
      <c r="F3" s="72" t="s">
        <v>520</v>
      </c>
      <c r="G3" s="72" t="s">
        <v>521</v>
      </c>
      <c r="H3" s="72" t="s">
        <v>522</v>
      </c>
      <c r="I3" s="72" t="s">
        <v>523</v>
      </c>
    </row>
    <row r="4" ht="18.75" customHeight="1">
      <c r="A4" s="72">
        <v>27.0</v>
      </c>
      <c r="B4" s="72" t="s">
        <v>524</v>
      </c>
      <c r="C4" s="72" t="s">
        <v>525</v>
      </c>
      <c r="D4" s="72" t="s">
        <v>526</v>
      </c>
      <c r="E4" s="72" t="s">
        <v>527</v>
      </c>
      <c r="F4" s="72" t="s">
        <v>528</v>
      </c>
      <c r="G4" s="72" t="s">
        <v>529</v>
      </c>
      <c r="H4" s="72" t="s">
        <v>530</v>
      </c>
      <c r="I4" s="72" t="s">
        <v>531</v>
      </c>
    </row>
    <row r="5" ht="18.75" customHeight="1">
      <c r="A5" s="72">
        <v>26.0</v>
      </c>
      <c r="B5" s="72" t="s">
        <v>532</v>
      </c>
      <c r="C5" s="72" t="s">
        <v>533</v>
      </c>
      <c r="D5" s="72" t="s">
        <v>534</v>
      </c>
      <c r="E5" s="72" t="s">
        <v>535</v>
      </c>
      <c r="F5" s="72" t="s">
        <v>536</v>
      </c>
      <c r="G5" s="72" t="s">
        <v>537</v>
      </c>
      <c r="H5" s="72" t="s">
        <v>538</v>
      </c>
      <c r="I5" s="72" t="s">
        <v>539</v>
      </c>
    </row>
    <row r="6" ht="18.75" customHeight="1">
      <c r="A6" s="72">
        <v>25.0</v>
      </c>
      <c r="B6" s="72" t="s">
        <v>540</v>
      </c>
      <c r="C6" s="72" t="s">
        <v>541</v>
      </c>
      <c r="D6" s="72" t="s">
        <v>542</v>
      </c>
      <c r="E6" s="72" t="s">
        <v>543</v>
      </c>
      <c r="F6" s="72" t="s">
        <v>544</v>
      </c>
      <c r="G6" s="72" t="s">
        <v>545</v>
      </c>
      <c r="H6" s="72" t="s">
        <v>546</v>
      </c>
      <c r="I6" s="72" t="s">
        <v>547</v>
      </c>
    </row>
    <row r="7" ht="18.75" customHeight="1">
      <c r="A7" s="72">
        <v>24.0</v>
      </c>
      <c r="B7" s="72" t="s">
        <v>548</v>
      </c>
      <c r="C7" s="72" t="s">
        <v>549</v>
      </c>
      <c r="D7" s="72" t="s">
        <v>550</v>
      </c>
      <c r="E7" s="72" t="s">
        <v>551</v>
      </c>
      <c r="F7" s="72" t="s">
        <v>552</v>
      </c>
      <c r="G7" s="72" t="s">
        <v>553</v>
      </c>
      <c r="H7" s="72" t="s">
        <v>554</v>
      </c>
      <c r="I7" s="72" t="s">
        <v>555</v>
      </c>
    </row>
    <row r="8" ht="18.75" customHeight="1">
      <c r="A8" s="72">
        <v>23.0</v>
      </c>
      <c r="B8" s="72" t="s">
        <v>556</v>
      </c>
      <c r="C8" s="72" t="s">
        <v>557</v>
      </c>
      <c r="D8" s="72" t="s">
        <v>558</v>
      </c>
      <c r="E8" s="72" t="s">
        <v>559</v>
      </c>
      <c r="F8" s="72" t="s">
        <v>560</v>
      </c>
      <c r="G8" s="72" t="s">
        <v>561</v>
      </c>
      <c r="H8" s="72" t="s">
        <v>554</v>
      </c>
      <c r="I8" s="72" t="s">
        <v>555</v>
      </c>
    </row>
    <row r="9" ht="18.75" customHeight="1">
      <c r="A9" s="72">
        <v>22.0</v>
      </c>
      <c r="B9" s="72" t="s">
        <v>556</v>
      </c>
      <c r="C9" s="72" t="s">
        <v>562</v>
      </c>
      <c r="D9" s="72" t="s">
        <v>563</v>
      </c>
      <c r="E9" s="72" t="s">
        <v>564</v>
      </c>
      <c r="F9" s="72" t="s">
        <v>565</v>
      </c>
      <c r="G9" s="72" t="s">
        <v>566</v>
      </c>
      <c r="H9" s="72" t="s">
        <v>554</v>
      </c>
      <c r="I9" s="72" t="s">
        <v>555</v>
      </c>
    </row>
    <row r="10" ht="18.75" customHeight="1">
      <c r="A10" s="72">
        <v>21.0</v>
      </c>
      <c r="B10" s="72" t="s">
        <v>556</v>
      </c>
      <c r="C10" s="72" t="s">
        <v>567</v>
      </c>
      <c r="D10" s="72" t="s">
        <v>568</v>
      </c>
      <c r="E10" s="72" t="s">
        <v>569</v>
      </c>
      <c r="F10" s="72" t="s">
        <v>570</v>
      </c>
      <c r="G10" s="72" t="s">
        <v>571</v>
      </c>
      <c r="H10" s="72" t="s">
        <v>554</v>
      </c>
      <c r="I10" s="72" t="s">
        <v>555</v>
      </c>
    </row>
    <row r="11" ht="18.75" customHeight="1">
      <c r="A11" s="72">
        <v>20.0</v>
      </c>
      <c r="B11" s="72" t="s">
        <v>572</v>
      </c>
      <c r="C11" s="72" t="s">
        <v>573</v>
      </c>
      <c r="D11" s="72" t="s">
        <v>574</v>
      </c>
      <c r="E11" s="72" t="s">
        <v>575</v>
      </c>
      <c r="F11" s="72" t="s">
        <v>576</v>
      </c>
      <c r="G11" s="72" t="s">
        <v>577</v>
      </c>
      <c r="H11" s="72" t="s">
        <v>578</v>
      </c>
      <c r="I11" s="72" t="s">
        <v>579</v>
      </c>
    </row>
    <row r="12" ht="18.75" customHeight="1">
      <c r="A12" s="72">
        <v>19.0</v>
      </c>
      <c r="B12" s="72" t="s">
        <v>580</v>
      </c>
      <c r="C12" s="72" t="s">
        <v>581</v>
      </c>
      <c r="D12" s="72" t="s">
        <v>582</v>
      </c>
      <c r="E12" s="72" t="s">
        <v>583</v>
      </c>
      <c r="F12" s="72" t="s">
        <v>584</v>
      </c>
      <c r="G12" s="72" t="s">
        <v>585</v>
      </c>
      <c r="H12" s="72" t="s">
        <v>554</v>
      </c>
      <c r="I12" s="72" t="s">
        <v>555</v>
      </c>
    </row>
    <row r="13" ht="18.75" customHeight="1">
      <c r="A13" s="72">
        <v>18.0</v>
      </c>
      <c r="B13" s="72" t="s">
        <v>572</v>
      </c>
      <c r="C13" s="72" t="s">
        <v>573</v>
      </c>
      <c r="D13" s="72" t="s">
        <v>574</v>
      </c>
      <c r="E13" s="72" t="s">
        <v>575</v>
      </c>
      <c r="F13" s="72" t="s">
        <v>576</v>
      </c>
      <c r="G13" s="72" t="s">
        <v>577</v>
      </c>
      <c r="H13" s="72" t="s">
        <v>578</v>
      </c>
      <c r="I13" s="72" t="s">
        <v>579</v>
      </c>
    </row>
    <row r="14" ht="18.75" customHeight="1">
      <c r="A14" s="72">
        <v>17.0</v>
      </c>
      <c r="B14" s="72" t="s">
        <v>556</v>
      </c>
      <c r="C14" s="80" t="s">
        <v>586</v>
      </c>
      <c r="D14" s="72" t="s">
        <v>587</v>
      </c>
      <c r="E14" s="72" t="s">
        <v>588</v>
      </c>
      <c r="F14" s="72" t="s">
        <v>589</v>
      </c>
      <c r="G14" s="72" t="s">
        <v>590</v>
      </c>
      <c r="H14" s="72" t="s">
        <v>554</v>
      </c>
      <c r="I14" s="72" t="s">
        <v>555</v>
      </c>
    </row>
    <row r="15" ht="18.75" customHeight="1">
      <c r="A15" s="72">
        <v>16.0</v>
      </c>
      <c r="B15" s="72" t="s">
        <v>572</v>
      </c>
      <c r="C15" s="72" t="s">
        <v>573</v>
      </c>
      <c r="D15" s="72" t="s">
        <v>574</v>
      </c>
      <c r="E15" s="72" t="s">
        <v>575</v>
      </c>
      <c r="F15" s="72" t="s">
        <v>576</v>
      </c>
      <c r="G15" s="72" t="s">
        <v>577</v>
      </c>
      <c r="H15" s="72" t="s">
        <v>578</v>
      </c>
      <c r="I15" s="72" t="s">
        <v>579</v>
      </c>
    </row>
    <row r="16" ht="18.75" customHeight="1">
      <c r="A16" s="72">
        <v>15.0</v>
      </c>
      <c r="B16" s="72" t="s">
        <v>591</v>
      </c>
      <c r="C16" s="72" t="s">
        <v>592</v>
      </c>
      <c r="D16" s="72" t="s">
        <v>593</v>
      </c>
      <c r="E16" s="72" t="s">
        <v>594</v>
      </c>
      <c r="F16" s="72" t="s">
        <v>595</v>
      </c>
      <c r="G16" s="72" t="s">
        <v>596</v>
      </c>
      <c r="H16" s="72" t="s">
        <v>554</v>
      </c>
      <c r="I16" s="72" t="s">
        <v>555</v>
      </c>
    </row>
    <row r="17" ht="18.75" customHeight="1">
      <c r="A17" s="72">
        <v>14.0</v>
      </c>
      <c r="B17" s="72" t="s">
        <v>572</v>
      </c>
      <c r="C17" s="72" t="s">
        <v>573</v>
      </c>
      <c r="D17" s="72" t="s">
        <v>574</v>
      </c>
      <c r="E17" s="72" t="s">
        <v>575</v>
      </c>
      <c r="F17" s="72" t="s">
        <v>576</v>
      </c>
      <c r="G17" s="72" t="s">
        <v>577</v>
      </c>
      <c r="H17" s="72" t="s">
        <v>578</v>
      </c>
      <c r="I17" s="72" t="s">
        <v>579</v>
      </c>
    </row>
    <row r="18" ht="18.75" customHeight="1">
      <c r="A18" s="72">
        <v>13.0</v>
      </c>
      <c r="B18" s="72" t="s">
        <v>597</v>
      </c>
      <c r="C18" s="80" t="s">
        <v>586</v>
      </c>
      <c r="D18" s="72" t="s">
        <v>598</v>
      </c>
      <c r="E18" s="72" t="s">
        <v>599</v>
      </c>
      <c r="F18" s="72" t="s">
        <v>600</v>
      </c>
      <c r="G18" s="72" t="s">
        <v>601</v>
      </c>
      <c r="H18" s="72" t="s">
        <v>554</v>
      </c>
      <c r="I18" s="72" t="s">
        <v>555</v>
      </c>
    </row>
    <row r="19" ht="18.75" customHeight="1">
      <c r="A19" s="72">
        <v>12.0</v>
      </c>
      <c r="B19" s="72" t="s">
        <v>572</v>
      </c>
      <c r="C19" s="72" t="s">
        <v>573</v>
      </c>
      <c r="D19" s="72" t="s">
        <v>574</v>
      </c>
      <c r="E19" s="72" t="s">
        <v>575</v>
      </c>
      <c r="F19" s="72" t="s">
        <v>576</v>
      </c>
      <c r="G19" s="72" t="s">
        <v>577</v>
      </c>
      <c r="H19" s="72" t="s">
        <v>578</v>
      </c>
      <c r="I19" s="72" t="s">
        <v>579</v>
      </c>
    </row>
    <row r="20" ht="18.75" customHeight="1">
      <c r="A20" s="72">
        <v>11.0</v>
      </c>
      <c r="B20" s="72" t="s">
        <v>602</v>
      </c>
      <c r="C20" s="72" t="s">
        <v>603</v>
      </c>
      <c r="D20" s="72" t="s">
        <v>604</v>
      </c>
      <c r="E20" s="72" t="s">
        <v>605</v>
      </c>
      <c r="F20" s="72" t="s">
        <v>606</v>
      </c>
      <c r="G20" s="72" t="s">
        <v>607</v>
      </c>
      <c r="H20" s="72" t="s">
        <v>554</v>
      </c>
      <c r="I20" s="72" t="s">
        <v>555</v>
      </c>
    </row>
    <row r="21" ht="18.75" customHeight="1">
      <c r="A21" s="72">
        <v>10.0</v>
      </c>
      <c r="B21" s="72" t="s">
        <v>572</v>
      </c>
      <c r="C21" s="72" t="s">
        <v>573</v>
      </c>
      <c r="D21" s="72" t="s">
        <v>574</v>
      </c>
      <c r="E21" s="72" t="s">
        <v>575</v>
      </c>
      <c r="F21" s="72" t="s">
        <v>576</v>
      </c>
      <c r="G21" s="72" t="s">
        <v>577</v>
      </c>
      <c r="H21" s="72" t="s">
        <v>578</v>
      </c>
      <c r="I21" s="72" t="s">
        <v>579</v>
      </c>
    </row>
    <row r="22" ht="18.75" customHeight="1">
      <c r="A22" s="72">
        <v>9.0</v>
      </c>
      <c r="B22" s="72" t="s">
        <v>572</v>
      </c>
      <c r="C22" s="72" t="s">
        <v>573</v>
      </c>
      <c r="D22" s="72" t="s">
        <v>574</v>
      </c>
      <c r="E22" s="72" t="s">
        <v>575</v>
      </c>
      <c r="F22" s="72" t="s">
        <v>576</v>
      </c>
      <c r="G22" s="72" t="s">
        <v>577</v>
      </c>
      <c r="H22" s="72" t="s">
        <v>578</v>
      </c>
      <c r="I22" s="72" t="s">
        <v>579</v>
      </c>
    </row>
    <row r="23" ht="18.75" customHeight="1">
      <c r="A23" s="72">
        <v>8.0</v>
      </c>
      <c r="B23" s="72" t="s">
        <v>572</v>
      </c>
      <c r="C23" s="72" t="s">
        <v>573</v>
      </c>
      <c r="D23" s="72" t="s">
        <v>574</v>
      </c>
      <c r="E23" s="72" t="s">
        <v>575</v>
      </c>
      <c r="F23" s="72" t="s">
        <v>576</v>
      </c>
      <c r="G23" s="72" t="s">
        <v>577</v>
      </c>
      <c r="H23" s="72" t="s">
        <v>578</v>
      </c>
      <c r="I23" s="72" t="s">
        <v>579</v>
      </c>
    </row>
    <row r="24" ht="18.75" customHeight="1">
      <c r="A24" s="72">
        <v>7.0</v>
      </c>
      <c r="B24" s="81" t="s">
        <v>608</v>
      </c>
      <c r="C24" s="72" t="s">
        <v>609</v>
      </c>
      <c r="D24" s="72" t="s">
        <v>610</v>
      </c>
      <c r="E24" s="81" t="s">
        <v>611</v>
      </c>
      <c r="F24" s="81" t="s">
        <v>612</v>
      </c>
      <c r="G24" s="81" t="s">
        <v>613</v>
      </c>
      <c r="H24" s="72" t="s">
        <v>554</v>
      </c>
      <c r="I24" s="72" t="s">
        <v>555</v>
      </c>
    </row>
    <row r="25" ht="18.75" customHeight="1">
      <c r="A25" s="72">
        <v>6.0</v>
      </c>
      <c r="B25" s="72" t="s">
        <v>572</v>
      </c>
      <c r="C25" s="72" t="s">
        <v>573</v>
      </c>
      <c r="D25" s="72" t="s">
        <v>574</v>
      </c>
      <c r="E25" s="72" t="s">
        <v>575</v>
      </c>
      <c r="F25" s="72" t="s">
        <v>576</v>
      </c>
      <c r="G25" s="72" t="s">
        <v>577</v>
      </c>
      <c r="H25" s="72" t="s">
        <v>578</v>
      </c>
      <c r="I25" s="72" t="s">
        <v>579</v>
      </c>
    </row>
    <row r="26" ht="18.75" customHeight="1">
      <c r="A26" s="72">
        <v>5.0</v>
      </c>
      <c r="B26" s="81" t="s">
        <v>608</v>
      </c>
      <c r="C26" s="81" t="s">
        <v>614</v>
      </c>
      <c r="D26" s="81" t="s">
        <v>615</v>
      </c>
      <c r="E26" s="81" t="s">
        <v>616</v>
      </c>
      <c r="F26" s="81" t="s">
        <v>617</v>
      </c>
      <c r="G26" s="81" t="s">
        <v>618</v>
      </c>
      <c r="H26" s="72" t="s">
        <v>554</v>
      </c>
      <c r="I26" s="72" t="s">
        <v>555</v>
      </c>
    </row>
    <row r="27" ht="18.75" customHeight="1">
      <c r="A27" s="72">
        <v>4.0</v>
      </c>
      <c r="B27" s="72" t="s">
        <v>572</v>
      </c>
      <c r="C27" s="72" t="s">
        <v>573</v>
      </c>
      <c r="D27" s="72" t="s">
        <v>574</v>
      </c>
      <c r="E27" s="72" t="s">
        <v>575</v>
      </c>
      <c r="F27" s="72" t="s">
        <v>576</v>
      </c>
      <c r="G27" s="72" t="s">
        <v>577</v>
      </c>
      <c r="H27" s="72" t="s">
        <v>578</v>
      </c>
      <c r="I27" s="72" t="s">
        <v>579</v>
      </c>
    </row>
    <row r="28" ht="18.75" customHeight="1">
      <c r="A28" s="72">
        <v>3.0</v>
      </c>
      <c r="B28" s="81" t="s">
        <v>608</v>
      </c>
      <c r="C28" s="72" t="s">
        <v>619</v>
      </c>
      <c r="D28" s="72" t="s">
        <v>620</v>
      </c>
      <c r="E28" s="72" t="s">
        <v>621</v>
      </c>
      <c r="F28" s="72" t="s">
        <v>622</v>
      </c>
      <c r="G28" s="72" t="s">
        <v>623</v>
      </c>
      <c r="H28" s="72" t="s">
        <v>554</v>
      </c>
      <c r="I28" s="72" t="s">
        <v>555</v>
      </c>
    </row>
    <row r="29" ht="18.75" customHeight="1">
      <c r="A29" s="72">
        <v>2.0</v>
      </c>
      <c r="B29" s="72" t="s">
        <v>572</v>
      </c>
      <c r="C29" s="72" t="s">
        <v>573</v>
      </c>
      <c r="D29" s="72" t="s">
        <v>574</v>
      </c>
      <c r="E29" s="72" t="s">
        <v>575</v>
      </c>
      <c r="F29" s="72" t="s">
        <v>576</v>
      </c>
      <c r="G29" s="72" t="s">
        <v>577</v>
      </c>
      <c r="H29" s="72" t="s">
        <v>578</v>
      </c>
      <c r="I29" s="72" t="s">
        <v>579</v>
      </c>
    </row>
    <row r="30" ht="18.75" customHeight="1">
      <c r="A30" s="72">
        <v>1.0</v>
      </c>
      <c r="B30" s="72" t="s">
        <v>624</v>
      </c>
      <c r="C30" s="72" t="s">
        <v>625</v>
      </c>
      <c r="D30" s="72" t="s">
        <v>626</v>
      </c>
      <c r="E30" s="72" t="s">
        <v>627</v>
      </c>
      <c r="F30" s="72" t="s">
        <v>628</v>
      </c>
      <c r="G30" s="72" t="s">
        <v>629</v>
      </c>
      <c r="H30" s="72" t="s">
        <v>630</v>
      </c>
      <c r="I30" s="72" t="s">
        <v>631</v>
      </c>
    </row>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2023-07-05T03:50:31Z</dcterms:created>
  <dc:creator>Tink2</dc:creator>
</cp:coreProperties>
</file>